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D:\EQUITY RES\"/>
    </mc:Choice>
  </mc:AlternateContent>
  <xr:revisionPtr revIDLastSave="0" documentId="13_ncr:1_{D7D135FF-18D0-49CF-B007-77B85849A3C3}" xr6:coauthVersionLast="47" xr6:coauthVersionMax="47" xr10:uidLastSave="{00000000-0000-0000-0000-000000000000}"/>
  <workbookProtection workbookAlgorithmName="SHA-512" workbookHashValue="FelLwnFZjx8Caei02vMUMWe49nSOnz3I04m9kJHrpBg98D1NKdJxN6DtCTOk5mTrt8D1U3alcuTg3stOJ7a7cg==" workbookSaltValue="zGhfKEzWods0ByjKM6D8Ug==" workbookSpinCount="100000" lockStructure="1"/>
  <bookViews>
    <workbookView xWindow="-108" yWindow="-108" windowWidth="23256" windowHeight="12456" tabRatio="500" firstSheet="6" activeTab="10" xr2:uid="{00000000-000D-0000-FFFF-FFFF00000000}"/>
  </bookViews>
  <sheets>
    <sheet name="Standalone Balance Sheet" sheetId="1" r:id="rId1"/>
    <sheet name="Standalone Income Statement" sheetId="2" r:id="rId2"/>
    <sheet name="Standalone Cash Flow" sheetId="3" r:id="rId3"/>
    <sheet name="Standalone Notes (Account)" sheetId="5" r:id="rId4"/>
    <sheet name="Consolidated Balance Sheet" sheetId="6" r:id="rId5"/>
    <sheet name="Consolidated Income Statement" sheetId="7" r:id="rId6"/>
    <sheet name="Consolidated Cash Flow" sheetId="8" r:id="rId7"/>
    <sheet name="Consolidated Notes (Account)" sheetId="10" r:id="rId8"/>
    <sheet name="WACC" sheetId="11" r:id="rId9"/>
    <sheet name="Beta" sheetId="13" r:id="rId10"/>
    <sheet name="FcFF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11" l="1"/>
  <c r="P47" i="11"/>
  <c r="P49" i="11" s="1"/>
  <c r="P48" i="11"/>
  <c r="N20" i="13" l="1"/>
  <c r="N19" i="13"/>
  <c r="N6" i="13"/>
  <c r="N7" i="13"/>
  <c r="N12" i="13"/>
  <c r="N16" i="13"/>
  <c r="N15" i="13"/>
  <c r="N24" i="13"/>
  <c r="N2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D174" i="13"/>
  <c r="AD175" i="13"/>
  <c r="AD176" i="13"/>
  <c r="AD177" i="13"/>
  <c r="AD178" i="13"/>
  <c r="AD179" i="13"/>
  <c r="AD180" i="13"/>
  <c r="AD181" i="13"/>
  <c r="AD182" i="13"/>
  <c r="AD183" i="13"/>
  <c r="AD184" i="13"/>
  <c r="AD185" i="13"/>
  <c r="AD186" i="13"/>
  <c r="AD187" i="13"/>
  <c r="AD188" i="13"/>
  <c r="AD189" i="13"/>
  <c r="AD190" i="13"/>
  <c r="AD191" i="13"/>
  <c r="AD192" i="13"/>
  <c r="AD193" i="13"/>
  <c r="AD194" i="13"/>
  <c r="AD195" i="13"/>
  <c r="AD196" i="13"/>
  <c r="AD197" i="13"/>
  <c r="AD198" i="13"/>
  <c r="AD199" i="13"/>
  <c r="AD200" i="13"/>
  <c r="AD201" i="13"/>
  <c r="AD202" i="13"/>
  <c r="AD203" i="13"/>
  <c r="AD204" i="13"/>
  <c r="AD205" i="13"/>
  <c r="AD206" i="13"/>
  <c r="AD207" i="13"/>
  <c r="AD208" i="13"/>
  <c r="AD209" i="13"/>
  <c r="AD210" i="13"/>
  <c r="AD211" i="13"/>
  <c r="AD212" i="13"/>
  <c r="AD213" i="13"/>
  <c r="AD214" i="13"/>
  <c r="AD215" i="13"/>
  <c r="AD216" i="13"/>
  <c r="AD217" i="13"/>
  <c r="AD218" i="13"/>
  <c r="AD219" i="13"/>
  <c r="AD220" i="13"/>
  <c r="AD221" i="13"/>
  <c r="AD222" i="13"/>
  <c r="AD223" i="13"/>
  <c r="AD224" i="13"/>
  <c r="AD225" i="13"/>
  <c r="AD226" i="13"/>
  <c r="AD227" i="13"/>
  <c r="AD228" i="13"/>
  <c r="AD229" i="13"/>
  <c r="AD230" i="13"/>
  <c r="AD231" i="13"/>
  <c r="AD232" i="13"/>
  <c r="AD233" i="13"/>
  <c r="AD234" i="13"/>
  <c r="AD235" i="13"/>
  <c r="AD236" i="13"/>
  <c r="AD237" i="13"/>
  <c r="AD238" i="13"/>
  <c r="AD239" i="13"/>
  <c r="AD240" i="13"/>
  <c r="AD241" i="13"/>
  <c r="AD242" i="13"/>
  <c r="AD243" i="13"/>
  <c r="AD244" i="13"/>
  <c r="AD245" i="13"/>
  <c r="AD246" i="13"/>
  <c r="AD247" i="13"/>
  <c r="AD248" i="13"/>
  <c r="AD249" i="13"/>
  <c r="AD250" i="13"/>
  <c r="AD251" i="13"/>
  <c r="AD252" i="13"/>
  <c r="Z223" i="13"/>
  <c r="Z224" i="13"/>
  <c r="Z225" i="13"/>
  <c r="Z226" i="13"/>
  <c r="Z227" i="13"/>
  <c r="Z228" i="13"/>
  <c r="Z229" i="13"/>
  <c r="Z230" i="13"/>
  <c r="Z231" i="13"/>
  <c r="Z232" i="13"/>
  <c r="Z233" i="13"/>
  <c r="Z234" i="13"/>
  <c r="Z235" i="13"/>
  <c r="Z236" i="13"/>
  <c r="Z237" i="13"/>
  <c r="Z238" i="13"/>
  <c r="Z239" i="13"/>
  <c r="Z240" i="13"/>
  <c r="Z241" i="13"/>
  <c r="Z242" i="13"/>
  <c r="Z243" i="13"/>
  <c r="Z244" i="13"/>
  <c r="Z245" i="13"/>
  <c r="Z246" i="13"/>
  <c r="Z247" i="13"/>
  <c r="Z248" i="13"/>
  <c r="Z249" i="13"/>
  <c r="Z250" i="13"/>
  <c r="Z251" i="13"/>
  <c r="Z252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5" i="13"/>
  <c r="Z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3" i="13"/>
  <c r="Z74" i="13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90" i="13"/>
  <c r="Z91" i="13"/>
  <c r="Z92" i="13"/>
  <c r="Z93" i="13"/>
  <c r="Z94" i="13"/>
  <c r="Z95" i="13"/>
  <c r="Z96" i="13"/>
  <c r="Z97" i="13"/>
  <c r="Z98" i="13"/>
  <c r="Z99" i="13"/>
  <c r="Z100" i="13"/>
  <c r="Z101" i="13"/>
  <c r="Z102" i="13"/>
  <c r="Z103" i="13"/>
  <c r="Z104" i="13"/>
  <c r="Z105" i="13"/>
  <c r="Z106" i="13"/>
  <c r="Z107" i="13"/>
  <c r="Z108" i="13"/>
  <c r="Z109" i="13"/>
  <c r="Z110" i="13"/>
  <c r="Z111" i="13"/>
  <c r="Z112" i="13"/>
  <c r="Z113" i="13"/>
  <c r="Z114" i="13"/>
  <c r="Z115" i="13"/>
  <c r="Z116" i="13"/>
  <c r="Z117" i="13"/>
  <c r="Z118" i="13"/>
  <c r="Z119" i="13"/>
  <c r="Z120" i="13"/>
  <c r="Z121" i="13"/>
  <c r="Z122" i="13"/>
  <c r="Z123" i="13"/>
  <c r="Z124" i="13"/>
  <c r="Z125" i="13"/>
  <c r="Z126" i="13"/>
  <c r="Z127" i="13"/>
  <c r="Z128" i="13"/>
  <c r="Z129" i="13"/>
  <c r="Z130" i="13"/>
  <c r="Z131" i="13"/>
  <c r="Z132" i="13"/>
  <c r="Z133" i="13"/>
  <c r="Z134" i="13"/>
  <c r="Z135" i="13"/>
  <c r="Z136" i="13"/>
  <c r="Z137" i="13"/>
  <c r="Z138" i="13"/>
  <c r="Z139" i="13"/>
  <c r="Z140" i="13"/>
  <c r="Z141" i="13"/>
  <c r="Z142" i="13"/>
  <c r="Z143" i="13"/>
  <c r="Z144" i="13"/>
  <c r="Z145" i="13"/>
  <c r="Z146" i="13"/>
  <c r="Z147" i="13"/>
  <c r="Z148" i="13"/>
  <c r="Z149" i="13"/>
  <c r="Z150" i="13"/>
  <c r="Z151" i="13"/>
  <c r="Z152" i="13"/>
  <c r="Z153" i="13"/>
  <c r="Z154" i="13"/>
  <c r="Z155" i="13"/>
  <c r="Z156" i="13"/>
  <c r="Z157" i="13"/>
  <c r="Z158" i="13"/>
  <c r="Z159" i="13"/>
  <c r="Z160" i="13"/>
  <c r="Z161" i="13"/>
  <c r="Z162" i="13"/>
  <c r="Z163" i="13"/>
  <c r="Z164" i="13"/>
  <c r="Z165" i="13"/>
  <c r="Z166" i="13"/>
  <c r="Z167" i="13"/>
  <c r="Z168" i="13"/>
  <c r="Z169" i="13"/>
  <c r="Z170" i="13"/>
  <c r="Z171" i="13"/>
  <c r="Z172" i="13"/>
  <c r="Z173" i="13"/>
  <c r="Z174" i="13"/>
  <c r="Z175" i="13"/>
  <c r="Z176" i="13"/>
  <c r="Z177" i="13"/>
  <c r="Z178" i="13"/>
  <c r="Z179" i="13"/>
  <c r="Z180" i="13"/>
  <c r="Z181" i="13"/>
  <c r="Z182" i="13"/>
  <c r="Z183" i="13"/>
  <c r="Z184" i="13"/>
  <c r="Z185" i="13"/>
  <c r="Z186" i="13"/>
  <c r="Z187" i="13"/>
  <c r="Z188" i="13"/>
  <c r="Z189" i="13"/>
  <c r="Z190" i="13"/>
  <c r="Z191" i="13"/>
  <c r="Z192" i="13"/>
  <c r="Z193" i="13"/>
  <c r="Z194" i="13"/>
  <c r="Z195" i="13"/>
  <c r="Z196" i="13"/>
  <c r="Z197" i="13"/>
  <c r="Z198" i="13"/>
  <c r="Z199" i="13"/>
  <c r="Z200" i="13"/>
  <c r="Z201" i="13"/>
  <c r="Z202" i="13"/>
  <c r="Z203" i="13"/>
  <c r="Z204" i="13"/>
  <c r="Z205" i="13"/>
  <c r="Z206" i="13"/>
  <c r="Z207" i="13"/>
  <c r="Z208" i="13"/>
  <c r="Z209" i="13"/>
  <c r="Z210" i="13"/>
  <c r="Z211" i="13"/>
  <c r="Z212" i="13"/>
  <c r="Z213" i="13"/>
  <c r="Z214" i="13"/>
  <c r="Z215" i="13"/>
  <c r="Z216" i="13"/>
  <c r="Z217" i="13"/>
  <c r="Z218" i="13"/>
  <c r="Z219" i="13"/>
  <c r="Z220" i="13"/>
  <c r="Z221" i="13"/>
  <c r="Z222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173" i="13"/>
  <c r="R174" i="13"/>
  <c r="R175" i="13"/>
  <c r="R176" i="13"/>
  <c r="R177" i="13"/>
  <c r="R178" i="13"/>
  <c r="R179" i="13"/>
  <c r="R180" i="13"/>
  <c r="R181" i="13"/>
  <c r="R182" i="13"/>
  <c r="R183" i="13"/>
  <c r="R184" i="13"/>
  <c r="R185" i="13"/>
  <c r="R186" i="13"/>
  <c r="R187" i="13"/>
  <c r="R188" i="13"/>
  <c r="R189" i="13"/>
  <c r="R190" i="13"/>
  <c r="R191" i="13"/>
  <c r="R192" i="13"/>
  <c r="R193" i="13"/>
  <c r="R194" i="13"/>
  <c r="R195" i="13"/>
  <c r="R196" i="13"/>
  <c r="R197" i="13"/>
  <c r="R198" i="13"/>
  <c r="R199" i="13"/>
  <c r="R200" i="13"/>
  <c r="R201" i="13"/>
  <c r="R202" i="13"/>
  <c r="R203" i="13"/>
  <c r="R204" i="13"/>
  <c r="R205" i="13"/>
  <c r="R206" i="13"/>
  <c r="R207" i="13"/>
  <c r="R208" i="13"/>
  <c r="R209" i="13"/>
  <c r="R210" i="13"/>
  <c r="R211" i="13"/>
  <c r="R212" i="13"/>
  <c r="R213" i="13"/>
  <c r="R214" i="13"/>
  <c r="R215" i="13"/>
  <c r="R216" i="13"/>
  <c r="R217" i="13"/>
  <c r="R218" i="13"/>
  <c r="R219" i="13"/>
  <c r="R220" i="13"/>
  <c r="R221" i="13"/>
  <c r="R222" i="13"/>
  <c r="R223" i="13"/>
  <c r="R224" i="13"/>
  <c r="R225" i="13"/>
  <c r="R226" i="13"/>
  <c r="R227" i="13"/>
  <c r="R228" i="13"/>
  <c r="R229" i="13"/>
  <c r="R230" i="13"/>
  <c r="R231" i="13"/>
  <c r="R232" i="13"/>
  <c r="R233" i="13"/>
  <c r="R234" i="13"/>
  <c r="R235" i="13"/>
  <c r="R236" i="13"/>
  <c r="R237" i="13"/>
  <c r="R238" i="13"/>
  <c r="R239" i="13"/>
  <c r="R240" i="13"/>
  <c r="R241" i="13"/>
  <c r="R242" i="13"/>
  <c r="R243" i="13"/>
  <c r="R244" i="13"/>
  <c r="R245" i="13"/>
  <c r="R246" i="13"/>
  <c r="R247" i="13"/>
  <c r="R248" i="13"/>
  <c r="R249" i="13"/>
  <c r="R250" i="13"/>
  <c r="R251" i="13"/>
  <c r="R252" i="13"/>
  <c r="R5" i="13"/>
  <c r="D41" i="12"/>
  <c r="C64" i="12"/>
  <c r="C63" i="12"/>
  <c r="C62" i="12"/>
  <c r="C60" i="12"/>
  <c r="G48" i="11"/>
  <c r="K20" i="12"/>
  <c r="C54" i="12" s="1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5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N11" i="13" l="1"/>
  <c r="N52" i="11"/>
  <c r="N53" i="11"/>
  <c r="Q47" i="11"/>
  <c r="L50" i="11"/>
  <c r="L51" i="11"/>
  <c r="L52" i="11"/>
  <c r="L53" i="11"/>
  <c r="L54" i="11"/>
  <c r="L55" i="11"/>
  <c r="L56" i="11"/>
  <c r="L49" i="11"/>
  <c r="L48" i="11"/>
  <c r="L24" i="11"/>
  <c r="D56" i="11"/>
  <c r="D55" i="11"/>
  <c r="D54" i="11"/>
  <c r="D53" i="11"/>
  <c r="H47" i="11" s="1"/>
  <c r="D52" i="11"/>
  <c r="D51" i="11"/>
  <c r="D50" i="11"/>
  <c r="D49" i="11"/>
  <c r="D48" i="11"/>
  <c r="O55" i="11" l="1"/>
  <c r="C38" i="12" s="1"/>
  <c r="G47" i="11"/>
  <c r="G49" i="11" s="1"/>
  <c r="D36" i="12" l="1"/>
  <c r="C36" i="12"/>
  <c r="D32" i="12"/>
  <c r="C24" i="12"/>
  <c r="C33" i="12" s="1"/>
  <c r="D20" i="12"/>
  <c r="C20" i="12"/>
  <c r="D19" i="12"/>
  <c r="D22" i="12" s="1"/>
  <c r="C19" i="12"/>
  <c r="D18" i="12"/>
  <c r="C18" i="12"/>
  <c r="K6" i="12"/>
  <c r="J6" i="12"/>
  <c r="I6" i="12"/>
  <c r="K10" i="12" s="1"/>
  <c r="D15" i="12" s="1"/>
  <c r="F6" i="12"/>
  <c r="E6" i="12"/>
  <c r="D6" i="12"/>
  <c r="F35" i="11"/>
  <c r="G35" i="11" s="1"/>
  <c r="C38" i="11" s="1"/>
  <c r="C39" i="11" s="1"/>
  <c r="N9" i="11" s="1"/>
  <c r="F32" i="11"/>
  <c r="F31" i="11"/>
  <c r="F30" i="11"/>
  <c r="F29" i="11"/>
  <c r="F28" i="11"/>
  <c r="F27" i="11"/>
  <c r="F26" i="11"/>
  <c r="F25" i="11"/>
  <c r="F24" i="11"/>
  <c r="F23" i="11"/>
  <c r="E10" i="11"/>
  <c r="O23" i="11" s="1"/>
  <c r="D10" i="11"/>
  <c r="G10" i="11" s="1"/>
  <c r="D47" i="7"/>
  <c r="D46" i="7"/>
  <c r="D41" i="7"/>
  <c r="C41" i="7"/>
  <c r="B41" i="7"/>
  <c r="D40" i="7"/>
  <c r="D39" i="7"/>
  <c r="D38" i="7"/>
  <c r="D37" i="7"/>
  <c r="D34" i="7"/>
  <c r="D33" i="7"/>
  <c r="C28" i="7"/>
  <c r="B28" i="7"/>
  <c r="D28" i="7" s="1"/>
  <c r="D27" i="7"/>
  <c r="D26" i="7"/>
  <c r="D22" i="7"/>
  <c r="D20" i="7"/>
  <c r="C17" i="7"/>
  <c r="B17" i="7"/>
  <c r="D17" i="7" s="1"/>
  <c r="D16" i="7"/>
  <c r="D15" i="7"/>
  <c r="D14" i="7"/>
  <c r="D13" i="7"/>
  <c r="D12" i="7"/>
  <c r="D11" i="7"/>
  <c r="D10" i="7"/>
  <c r="D7" i="7"/>
  <c r="C7" i="7"/>
  <c r="C19" i="7" s="1"/>
  <c r="B7" i="7"/>
  <c r="B19" i="7" s="1"/>
  <c r="D6" i="7"/>
  <c r="D5" i="7"/>
  <c r="C58" i="6"/>
  <c r="B58" i="6"/>
  <c r="D58" i="6" s="1"/>
  <c r="D57" i="6"/>
  <c r="D56" i="6"/>
  <c r="D55" i="6"/>
  <c r="D54" i="6"/>
  <c r="D53" i="6"/>
  <c r="D52" i="6"/>
  <c r="D51" i="6"/>
  <c r="D50" i="6"/>
  <c r="C48" i="6"/>
  <c r="C59" i="6" s="1"/>
  <c r="B48" i="6"/>
  <c r="D48" i="6" s="1"/>
  <c r="D47" i="6"/>
  <c r="D46" i="6"/>
  <c r="D45" i="6"/>
  <c r="D44" i="6"/>
  <c r="D43" i="6"/>
  <c r="D42" i="6"/>
  <c r="D41" i="6"/>
  <c r="D40" i="6"/>
  <c r="C38" i="6"/>
  <c r="C60" i="6" s="1"/>
  <c r="B38" i="6"/>
  <c r="D38" i="6" s="1"/>
  <c r="D37" i="6"/>
  <c r="D36" i="6"/>
  <c r="D35" i="6"/>
  <c r="C31" i="6"/>
  <c r="D30" i="6"/>
  <c r="C29" i="6"/>
  <c r="B29" i="6"/>
  <c r="D29" i="6" s="1"/>
  <c r="D28" i="6"/>
  <c r="D27" i="6"/>
  <c r="D26" i="6"/>
  <c r="D25" i="6"/>
  <c r="D24" i="6"/>
  <c r="D23" i="6"/>
  <c r="D22" i="6"/>
  <c r="D21" i="6"/>
  <c r="C19" i="6"/>
  <c r="B19" i="6"/>
  <c r="B31" i="6" s="1"/>
  <c r="D31" i="6" s="1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40" i="2"/>
  <c r="D39" i="2"/>
  <c r="C34" i="2"/>
  <c r="B34" i="2"/>
  <c r="D34" i="2" s="1"/>
  <c r="D33" i="2"/>
  <c r="D32" i="2"/>
  <c r="D31" i="2"/>
  <c r="C26" i="2"/>
  <c r="B26" i="2"/>
  <c r="D26" i="2" s="1"/>
  <c r="D25" i="2"/>
  <c r="D24" i="2"/>
  <c r="C21" i="2"/>
  <c r="C28" i="2" s="1"/>
  <c r="C36" i="2" s="1"/>
  <c r="D20" i="2"/>
  <c r="C19" i="2"/>
  <c r="B19" i="2"/>
  <c r="D19" i="2" s="1"/>
  <c r="D17" i="2"/>
  <c r="C17" i="2"/>
  <c r="B17" i="2"/>
  <c r="D16" i="2"/>
  <c r="D15" i="2"/>
  <c r="D14" i="2"/>
  <c r="D13" i="2"/>
  <c r="D12" i="2"/>
  <c r="D11" i="2"/>
  <c r="D10" i="2"/>
  <c r="D7" i="2"/>
  <c r="C7" i="2"/>
  <c r="B7" i="2"/>
  <c r="D6" i="2"/>
  <c r="D5" i="2"/>
  <c r="C56" i="1"/>
  <c r="B56" i="1"/>
  <c r="D56" i="1" s="1"/>
  <c r="D55" i="1"/>
  <c r="D54" i="1"/>
  <c r="D53" i="1"/>
  <c r="D52" i="1"/>
  <c r="D51" i="1"/>
  <c r="D50" i="1"/>
  <c r="D49" i="1"/>
  <c r="D48" i="1"/>
  <c r="D46" i="1"/>
  <c r="C46" i="1"/>
  <c r="C57" i="1" s="1"/>
  <c r="C58" i="1" s="1"/>
  <c r="B46" i="1"/>
  <c r="B57" i="1" s="1"/>
  <c r="D45" i="1"/>
  <c r="D44" i="1"/>
  <c r="D43" i="1"/>
  <c r="D42" i="1"/>
  <c r="D41" i="1"/>
  <c r="D40" i="1"/>
  <c r="D39" i="1"/>
  <c r="D38" i="1"/>
  <c r="C36" i="1"/>
  <c r="B36" i="1"/>
  <c r="B58" i="1" s="1"/>
  <c r="D35" i="1"/>
  <c r="D34" i="1"/>
  <c r="B30" i="1"/>
  <c r="D29" i="1"/>
  <c r="C28" i="1"/>
  <c r="B28" i="1"/>
  <c r="D28" i="1" s="1"/>
  <c r="D27" i="1"/>
  <c r="D26" i="1"/>
  <c r="D25" i="1"/>
  <c r="D24" i="1"/>
  <c r="D23" i="1"/>
  <c r="D22" i="1"/>
  <c r="D21" i="1"/>
  <c r="D20" i="1"/>
  <c r="C18" i="1"/>
  <c r="C30" i="1" s="1"/>
  <c r="D30" i="1" s="1"/>
  <c r="B18" i="1"/>
  <c r="D17" i="1"/>
  <c r="D16" i="1"/>
  <c r="D15" i="1"/>
  <c r="D14" i="1"/>
  <c r="D13" i="1"/>
  <c r="D12" i="1"/>
  <c r="D11" i="1"/>
  <c r="D10" i="1"/>
  <c r="D9" i="1"/>
  <c r="D8" i="1"/>
  <c r="D7" i="1"/>
  <c r="D6" i="1"/>
  <c r="C22" i="12" l="1"/>
  <c r="D10" i="12"/>
  <c r="C15" i="12" s="1"/>
  <c r="C21" i="12"/>
  <c r="C35" i="12" s="1"/>
  <c r="L23" i="11"/>
  <c r="L25" i="11" s="1"/>
  <c r="J10" i="11" s="1"/>
  <c r="N11" i="11" s="1"/>
  <c r="H10" i="11"/>
  <c r="N12" i="11" s="1"/>
  <c r="F36" i="11"/>
  <c r="B21" i="7"/>
  <c r="C13" i="12"/>
  <c r="C14" i="12" s="1"/>
  <c r="C16" i="12" s="1"/>
  <c r="D19" i="7"/>
  <c r="D13" i="12"/>
  <c r="D14" i="12" s="1"/>
  <c r="D16" i="12" s="1"/>
  <c r="C21" i="7"/>
  <c r="C23" i="7" s="1"/>
  <c r="C30" i="7" s="1"/>
  <c r="C43" i="7" s="1"/>
  <c r="C23" i="12"/>
  <c r="D58" i="1"/>
  <c r="N10" i="11"/>
  <c r="D57" i="1"/>
  <c r="D18" i="1"/>
  <c r="D19" i="6"/>
  <c r="D36" i="1"/>
  <c r="B21" i="2"/>
  <c r="D12" i="11"/>
  <c r="B59" i="6"/>
  <c r="F34" i="11"/>
  <c r="C25" i="12" l="1"/>
  <c r="C26" i="12" s="1"/>
  <c r="C34" i="12"/>
  <c r="N13" i="11"/>
  <c r="G12" i="11"/>
  <c r="D21" i="2"/>
  <c r="B28" i="2"/>
  <c r="B60" i="6"/>
  <c r="D60" i="6" s="1"/>
  <c r="D59" i="6"/>
  <c r="C29" i="12"/>
  <c r="B23" i="7"/>
  <c r="D21" i="7"/>
  <c r="B30" i="7" l="1"/>
  <c r="D23" i="7"/>
  <c r="D28" i="2"/>
  <c r="B36" i="2"/>
  <c r="D36" i="2" s="1"/>
  <c r="C32" i="12" l="1"/>
  <c r="B43" i="7"/>
  <c r="D43" i="7" s="1"/>
  <c r="D30" i="7"/>
  <c r="C37" i="12" l="1"/>
  <c r="C41" i="12" s="1"/>
  <c r="C59" i="12"/>
  <c r="E41" i="12"/>
  <c r="C42" i="12"/>
  <c r="D42" i="12" s="1"/>
  <c r="C43" i="12" l="1"/>
  <c r="D43" i="12" s="1"/>
  <c r="E42" i="12"/>
  <c r="C44" i="12" l="1"/>
  <c r="D44" i="12" s="1"/>
  <c r="E43" i="12"/>
  <c r="C45" i="12" l="1"/>
  <c r="D45" i="12" s="1"/>
  <c r="E44" i="12"/>
  <c r="C46" i="12" l="1"/>
  <c r="D46" i="12" s="1"/>
  <c r="E45" i="12"/>
  <c r="C49" i="12" l="1"/>
  <c r="C50" i="12" s="1"/>
  <c r="C51" i="12" s="1"/>
  <c r="E46" i="12"/>
  <c r="E47" i="12" s="1"/>
  <c r="C53" i="12" l="1"/>
  <c r="C55" i="12" s="1"/>
</calcChain>
</file>

<file path=xl/sharedStrings.xml><?xml version="1.0" encoding="utf-8"?>
<sst xmlns="http://schemas.openxmlformats.org/spreadsheetml/2006/main" count="2578" uniqueCount="962">
  <si>
    <t>STEEL AUTHORITY OF INDIA LIMITED – STANDALONE BALANCE SHEET</t>
  </si>
  <si>
    <t>As at 31st March, 2025  |  (₹ in Crore)</t>
  </si>
  <si>
    <t>Particulars</t>
  </si>
  <si>
    <t>FY 2024-25 (₹ Cr)</t>
  </si>
  <si>
    <t>FY 2023-24 (₹ Cr)</t>
  </si>
  <si>
    <t>YoY Change (₹ Cr)</t>
  </si>
  <si>
    <t>I.  ASSETS</t>
  </si>
  <si>
    <t>Non-Current Assets</t>
  </si>
  <si>
    <t xml:space="preserve">    Property, Plant &amp; Equipment</t>
  </si>
  <si>
    <t xml:space="preserve">    Capital Work-in-Progress</t>
  </si>
  <si>
    <t xml:space="preserve">    Right of Use Assets</t>
  </si>
  <si>
    <t xml:space="preserve">    Investment Property</t>
  </si>
  <si>
    <t xml:space="preserve">    Other Intangible Assets</t>
  </si>
  <si>
    <t xml:space="preserve">    Non-Current Inventories (Mining Stripping)</t>
  </si>
  <si>
    <t xml:space="preserve">    Investments (Non-Current)</t>
  </si>
  <si>
    <t xml:space="preserve">    Trade Receivables (Non-Current)</t>
  </si>
  <si>
    <t xml:space="preserve">    Loans (Non-Current)</t>
  </si>
  <si>
    <t xml:space="preserve">    Other Financial Assets (Non-Current)</t>
  </si>
  <si>
    <t xml:space="preserve">    Non-Current Tax Assets (Net)</t>
  </si>
  <si>
    <t xml:space="preserve">    Other Non-Current Assets</t>
  </si>
  <si>
    <t>Total Non-Current Assets</t>
  </si>
  <si>
    <t>Current Assets</t>
  </si>
  <si>
    <t xml:space="preserve">    Inventories</t>
  </si>
  <si>
    <t xml:space="preserve">    Trade Receivables (Current)</t>
  </si>
  <si>
    <t xml:space="preserve">    Cash &amp; Cash Equivalents</t>
  </si>
  <si>
    <t xml:space="preserve">    Bank Balances (Other than above)</t>
  </si>
  <si>
    <t xml:space="preserve">    Loans (Current)</t>
  </si>
  <si>
    <t xml:space="preserve">    Other Financial Assets (Current)</t>
  </si>
  <si>
    <t xml:space="preserve">    Current Tax Assets (Net)</t>
  </si>
  <si>
    <t xml:space="preserve">    Other Current Assets</t>
  </si>
  <si>
    <t>Total Current Assets</t>
  </si>
  <si>
    <t xml:space="preserve">    Assets Classified as Held for Sale</t>
  </si>
  <si>
    <t>TOTAL ASSETS</t>
  </si>
  <si>
    <t>II.  EQUITY AND LIABILITIES</t>
  </si>
  <si>
    <t>Equity</t>
  </si>
  <si>
    <t xml:space="preserve">    Equity Share Capital</t>
  </si>
  <si>
    <t xml:space="preserve">    Other Equity</t>
  </si>
  <si>
    <t>Total Equity</t>
  </si>
  <si>
    <t>Non-Current Liabilities</t>
  </si>
  <si>
    <t xml:space="preserve">    Borrowings (Non-Current)</t>
  </si>
  <si>
    <t xml:space="preserve">    Lease Liabilities (Non-Current)</t>
  </si>
  <si>
    <t xml:space="preserve">    Trade Payables – MSME (Non-Current)</t>
  </si>
  <si>
    <t xml:space="preserve">    Trade Payables – Others (Non-Current)</t>
  </si>
  <si>
    <t xml:space="preserve">    Other Financial Liabilities (Non-Current)</t>
  </si>
  <si>
    <t xml:space="preserve">    Provisions (Non-Current)</t>
  </si>
  <si>
    <t xml:space="preserve">    Deferred Tax Liabilities (Net)</t>
  </si>
  <si>
    <t xml:space="preserve">    Other Non-Current Liabilities</t>
  </si>
  <si>
    <t>Total Non-Current Liabilities</t>
  </si>
  <si>
    <t>Current Liabilities</t>
  </si>
  <si>
    <t xml:space="preserve">    Borrowings (Current)</t>
  </si>
  <si>
    <t xml:space="preserve">    Lease Liabilities (Current)</t>
  </si>
  <si>
    <t xml:space="preserve">    Trade Payables – MSME</t>
  </si>
  <si>
    <t xml:space="preserve">    Trade Payables – Others</t>
  </si>
  <si>
    <t xml:space="preserve">    Other Financial Liabilities (Current)</t>
  </si>
  <si>
    <t xml:space="preserve">    Other Current Liabilities</t>
  </si>
  <si>
    <t xml:space="preserve">    Provisions (Current)</t>
  </si>
  <si>
    <t xml:space="preserve">    Current Tax Liabilities (Net)</t>
  </si>
  <si>
    <t>Total Current Liabilities</t>
  </si>
  <si>
    <t>Total Liabilities</t>
  </si>
  <si>
    <t>TOTAL EQUITY AND LIABILITIES</t>
  </si>
  <si>
    <t>Source: SAIL Integrated Annual Report FY 2024-25, Page 78 – Standalone Balance Sheet</t>
  </si>
  <si>
    <t>STEEL AUTHORITY OF INDIA LIMITED – STANDALONE STATEMENT OF PROFIT &amp; LOSS</t>
  </si>
  <si>
    <t>For the Year Ended 31st March, 2025  |  (₹ in Crore)</t>
  </si>
  <si>
    <t>INCOME</t>
  </si>
  <si>
    <t xml:space="preserve">    Revenue from Operations</t>
  </si>
  <si>
    <t xml:space="preserve">    Other Income</t>
  </si>
  <si>
    <t>Total Income</t>
  </si>
  <si>
    <t>EXPENSES</t>
  </si>
  <si>
    <t xml:space="preserve">    Cost of Materials Consumed</t>
  </si>
  <si>
    <t xml:space="preserve">    Purchase of Stock-in-Trade</t>
  </si>
  <si>
    <t xml:space="preserve">    Changes in Inventories of FG, WIP &amp; By-Products</t>
  </si>
  <si>
    <t xml:space="preserve">    Employee Benefits Expense</t>
  </si>
  <si>
    <t xml:space="preserve">    Finance Costs</t>
  </si>
  <si>
    <t xml:space="preserve">    Depreciation &amp; Amortisation Expense</t>
  </si>
  <si>
    <t xml:space="preserve">    Other Expenses</t>
  </si>
  <si>
    <t>Total Expenses</t>
  </si>
  <si>
    <t>Profit Before Exceptional Items &amp; Tax</t>
  </si>
  <si>
    <t xml:space="preserve">    Add/(Less): Exceptional Items</t>
  </si>
  <si>
    <t>Profit Before Tax (PBT)</t>
  </si>
  <si>
    <t>TAX EXPENSE</t>
  </si>
  <si>
    <t xml:space="preserve">    Current Tax</t>
  </si>
  <si>
    <t xml:space="preserve">    Deferred Tax</t>
  </si>
  <si>
    <t>Total Tax Expense</t>
  </si>
  <si>
    <t>Profit for the Year (PAT)</t>
  </si>
  <si>
    <t>OTHER COMPREHENSIVE INCOME (OCI)</t>
  </si>
  <si>
    <t xml:space="preserve">    Remeasurement of Defined Benefit Plans</t>
  </si>
  <si>
    <t xml:space="preserve">    Gain/(Loss) on Equity Instruments at FVTOCI</t>
  </si>
  <si>
    <t xml:space="preserve">    Income Tax on OCI Items</t>
  </si>
  <si>
    <t>Total Other Comprehensive Income/(Loss)</t>
  </si>
  <si>
    <t>Total Comprehensive Income for the Year</t>
  </si>
  <si>
    <t>EARNINGS PER SHARE</t>
  </si>
  <si>
    <t xml:space="preserve">    Number of Equity Shares (Face Value ₹10 each)</t>
  </si>
  <si>
    <t xml:space="preserve">    Basic &amp; Diluted EPS (₹)</t>
  </si>
  <si>
    <t>Source: SAIL Integrated Annual Report FY 2024-25, Page 79 – Standalone Statement of Profit &amp; Loss</t>
  </si>
  <si>
    <t>STEEL AUTHORITY OF INDIA LIMITED</t>
  </si>
  <si>
    <t>STANDALONE CASH FLOW STATEMENT</t>
  </si>
  <si>
    <t>For the year ended 31st March, 2025  |  (in Crore INR)</t>
  </si>
  <si>
    <t>Sr No</t>
  </si>
  <si>
    <t>Section</t>
  </si>
  <si>
    <t>FY 2024-25 (Cr)</t>
  </si>
  <si>
    <t>FY 2023-24 (Cr)</t>
  </si>
  <si>
    <t>YoY Change (Cr)</t>
  </si>
  <si>
    <t>A</t>
  </si>
  <si>
    <t>A.  CASH FLOW FROM OPERATING ACTIVITIES</t>
  </si>
  <si>
    <t>Profit before tax</t>
  </si>
  <si>
    <t>Depreciation and amortisation expenses</t>
  </si>
  <si>
    <t>Gain/Loss on disposal of fixed assets (net)</t>
  </si>
  <si>
    <t>Interest income</t>
  </si>
  <si>
    <t>Dividend income</t>
  </si>
  <si>
    <t>Finance costs</t>
  </si>
  <si>
    <t>Gain on sale of non-current investments</t>
  </si>
  <si>
    <t>-</t>
  </si>
  <si>
    <t>Allowance for doubtful debts, loans and advances</t>
  </si>
  <si>
    <t>Other allowances</t>
  </si>
  <si>
    <t>Unclaimed balances and excess allowances written back</t>
  </si>
  <si>
    <t>Operating Profit before working capital changes</t>
  </si>
  <si>
    <t>Trade receivables</t>
  </si>
  <si>
    <t>Loans, other financial assets and other assets</t>
  </si>
  <si>
    <t>Trade payable</t>
  </si>
  <si>
    <t>Other financial liabilities and other liabilities</t>
  </si>
  <si>
    <t>Provisions</t>
  </si>
  <si>
    <t>Inventories</t>
  </si>
  <si>
    <t>Cash flow from operating activities post working capital changes</t>
  </si>
  <si>
    <t>Income tax paid (net)</t>
  </si>
  <si>
    <t>Net cash generated/(used) in operating activities (A)</t>
  </si>
  <si>
    <t>B</t>
  </si>
  <si>
    <t>B.  CASH FLOWS FROM INVESTING ACTIVITIES</t>
  </si>
  <si>
    <t>Purchase of property, plant &amp; equipment (incl. CWIP) and intangibles</t>
  </si>
  <si>
    <t>Proceeds from sale/disposal of property, plant &amp; equipment</t>
  </si>
  <si>
    <t>Purchase of current and non-current investments</t>
  </si>
  <si>
    <t>Movement in fixed deposits (net)</t>
  </si>
  <si>
    <t>Interest received</t>
  </si>
  <si>
    <t>Dividend received</t>
  </si>
  <si>
    <t>Net cash used in investing activities (B)</t>
  </si>
  <si>
    <t>C</t>
  </si>
  <si>
    <t>C.  CASH FLOWS FROM FINANCING ACTIVITIES</t>
  </si>
  <si>
    <t>Proceeds from long-term borrowings</t>
  </si>
  <si>
    <t>Repayment of long-term borrowings</t>
  </si>
  <si>
    <t>Proceeds/(repayment) of short-term borrowings (net)</t>
  </si>
  <si>
    <t>Lease liabilities</t>
  </si>
  <si>
    <t>Finance cost paid</t>
  </si>
  <si>
    <t>Dividend paid</t>
  </si>
  <si>
    <t>Net cash generated in financing activities (C)</t>
  </si>
  <si>
    <t>D</t>
  </si>
  <si>
    <t>D.  Net change in cash and cash equivalents (A+B+C)</t>
  </si>
  <si>
    <t>Cash and cash equivalents at the beginning of the year</t>
  </si>
  <si>
    <t>13.73</t>
  </si>
  <si>
    <t>Cash and cash equivalents at the end of the year*</t>
  </si>
  <si>
    <t>285.62</t>
  </si>
  <si>
    <t>* Includes balance with banks in current accounts, cheques in hand and stamps in hand.</t>
  </si>
  <si>
    <t>Borrowings include non-cash item on account of foreign exchange loss of INR 6.99 crores (previous year INR 1.72 crore).</t>
  </si>
  <si>
    <t>Cash flow statement prepared using the Indirect Method as per Ind AS-7, Statement of Cash Flows.</t>
  </si>
  <si>
    <t>NOTES TO STANDALONE FINANCIAL STATEMENTS – ACCOUNT FORMAT</t>
  </si>
  <si>
    <t>For the Year Ended 31st March, 2025  |  All amounts in ₹ Crore  |  Prepared as per Ind AS</t>
  </si>
  <si>
    <t>NOTE 9:  TRADE RECEIVABLES – NON CURRENT</t>
  </si>
  <si>
    <t>Considered good - Secured</t>
  </si>
  <si>
    <t>Considered good - Unsecured</t>
  </si>
  <si>
    <t>Trade receivables which have significant increase in credit risk</t>
  </si>
  <si>
    <t>Trade receivables - credit impaired</t>
  </si>
  <si>
    <t>123.08</t>
  </si>
  <si>
    <t>132.59</t>
  </si>
  <si>
    <t>Less: Allowance for credit losses</t>
  </si>
  <si>
    <t>(123.08)</t>
  </si>
  <si>
    <t>(132.59)</t>
  </si>
  <si>
    <t>TOTAL</t>
  </si>
  <si>
    <t>NOTE 10:  LOANS – NON CURRENT</t>
  </si>
  <si>
    <t>Loan to employees (Considered Good – Unsecured)</t>
  </si>
  <si>
    <t>21.42</t>
  </si>
  <si>
    <t>25.09</t>
  </si>
  <si>
    <t>Loan to others (incl. Indian Railways – Rowghat line)</t>
  </si>
  <si>
    <t>931.64</t>
  </si>
  <si>
    <t>854.06</t>
  </si>
  <si>
    <t>Sub-Total</t>
  </si>
  <si>
    <t>953.06</t>
  </si>
  <si>
    <t>879.15</t>
  </si>
  <si>
    <t>(2.20)</t>
  </si>
  <si>
    <t>(1.85)</t>
  </si>
  <si>
    <t>NET LOANS – NON CURRENT</t>
  </si>
  <si>
    <t>950.86</t>
  </si>
  <si>
    <t>877.30</t>
  </si>
  <si>
    <t>NOTE 11:  OTHER FINANCIAL ASSETS – NON CURRENT</t>
  </si>
  <si>
    <t>Security deposits</t>
  </si>
  <si>
    <t>316.83</t>
  </si>
  <si>
    <t>263.31</t>
  </si>
  <si>
    <t>Bank deposits with more than 12 months maturity</t>
  </si>
  <si>
    <t>31.67</t>
  </si>
  <si>
    <t>28.87</t>
  </si>
  <si>
    <t>Advance for purchase of shares</t>
  </si>
  <si>
    <t>0.06</t>
  </si>
  <si>
    <t>Claims recoverable</t>
  </si>
  <si>
    <t>139.31</t>
  </si>
  <si>
    <t>122.23</t>
  </si>
  <si>
    <t>Receivables other than trade</t>
  </si>
  <si>
    <t>82.78</t>
  </si>
  <si>
    <t>62.57</t>
  </si>
  <si>
    <t>Lease equalisation reserve</t>
  </si>
  <si>
    <t>1.25</t>
  </si>
  <si>
    <t>Receivables from employees</t>
  </si>
  <si>
    <t>0.99</t>
  </si>
  <si>
    <t>1.58</t>
  </si>
  <si>
    <t>Other receivables (incl. township dues, BJCL)</t>
  </si>
  <si>
    <t>98.00</t>
  </si>
  <si>
    <t>62.35</t>
  </si>
  <si>
    <t>Gross Other Financial Assets – Non Current</t>
  </si>
  <si>
    <t>670.89</t>
  </si>
  <si>
    <t>542.22</t>
  </si>
  <si>
    <t>Less: Allowance for doubtful assets</t>
  </si>
  <si>
    <t>(48.42)</t>
  </si>
  <si>
    <t>(97.98)</t>
  </si>
  <si>
    <t>NET OTHER FINANCIAL ASSETS – NON CURRENT</t>
  </si>
  <si>
    <t>622.47</t>
  </si>
  <si>
    <t>444.24</t>
  </si>
  <si>
    <t>NOTE 13:  NON-CURRENT TAX ASSETS (NET)</t>
  </si>
  <si>
    <t>Advance income tax (net of provision)</t>
  </si>
  <si>
    <t>451.35</t>
  </si>
  <si>
    <t>374.70</t>
  </si>
  <si>
    <t>NON-CURRENT TAX ASSETS (NET)</t>
  </si>
  <si>
    <t>NOTE 14:  OTHER ASSETS – NON CURRENT</t>
  </si>
  <si>
    <t>Capital advances</t>
  </si>
  <si>
    <t>247.56</t>
  </si>
  <si>
    <t>238.38</t>
  </si>
  <si>
    <t>Less: Allowance for doubtful capital advances</t>
  </si>
  <si>
    <t>(5.02)</t>
  </si>
  <si>
    <t>Net Capital advances</t>
  </si>
  <si>
    <t>242.54</t>
  </si>
  <si>
    <t>233.36</t>
  </si>
  <si>
    <t>Deposit with Government authorities – Excise</t>
  </si>
  <si>
    <t>102.52</t>
  </si>
  <si>
    <t>89.73</t>
  </si>
  <si>
    <t>Deposit with Government authorities – Others</t>
  </si>
  <si>
    <t>2031.66</t>
  </si>
  <si>
    <t>2918.83</t>
  </si>
  <si>
    <t>Prepaid expenses</t>
  </si>
  <si>
    <t>11.87</t>
  </si>
  <si>
    <t>14.86</t>
  </si>
  <si>
    <t>Advance to contractors &amp; suppliers</t>
  </si>
  <si>
    <t>68.73</t>
  </si>
  <si>
    <t>64.92</t>
  </si>
  <si>
    <t>Advance others</t>
  </si>
  <si>
    <t>67.53</t>
  </si>
  <si>
    <t>Sub-Total Advances</t>
  </si>
  <si>
    <t>2282.31</t>
  </si>
  <si>
    <t>3088.34</t>
  </si>
  <si>
    <t>Less: Allowance for doubtful other assets</t>
  </si>
  <si>
    <t>(169.93)</t>
  </si>
  <si>
    <t>(235.15)</t>
  </si>
  <si>
    <t>NET OTHER ASSETS – NON CURRENT</t>
  </si>
  <si>
    <t>2354.92</t>
  </si>
  <si>
    <t>3086.55</t>
  </si>
  <si>
    <t>NOTE 15:  INVENTORIES</t>
  </si>
  <si>
    <t>Raw material</t>
  </si>
  <si>
    <t>6044.53</t>
  </si>
  <si>
    <t>7673.38</t>
  </si>
  <si>
    <t>Raw material – In transit</t>
  </si>
  <si>
    <t>3072.92</t>
  </si>
  <si>
    <t>5050.57</t>
  </si>
  <si>
    <t>Sub-Total Raw Material</t>
  </si>
  <si>
    <t>9117.45</t>
  </si>
  <si>
    <t>12723.95</t>
  </si>
  <si>
    <t>Less: Allowance for unusable materials</t>
  </si>
  <si>
    <t>(13.48)</t>
  </si>
  <si>
    <t>(13.49)</t>
  </si>
  <si>
    <t>Net Raw Material</t>
  </si>
  <si>
    <t>9103.97</t>
  </si>
  <si>
    <t>12710.46</t>
  </si>
  <si>
    <t>Work in progress</t>
  </si>
  <si>
    <t>5520.35</t>
  </si>
  <si>
    <t>4195.80</t>
  </si>
  <si>
    <t>Finished goods</t>
  </si>
  <si>
    <t>9947.05</t>
  </si>
  <si>
    <t>11734.10</t>
  </si>
  <si>
    <t>Stores &amp; spares – Production</t>
  </si>
  <si>
    <t>3931.34</t>
  </si>
  <si>
    <t>4022.46</t>
  </si>
  <si>
    <t>Stores &amp; spares – Fuel</t>
  </si>
  <si>
    <t>237.99</t>
  </si>
  <si>
    <t>214.34</t>
  </si>
  <si>
    <t>Stores &amp; spares – Others</t>
  </si>
  <si>
    <t>21.69</t>
  </si>
  <si>
    <t>32.17</t>
  </si>
  <si>
    <t>Stores &amp; spares – In transit</t>
  </si>
  <si>
    <t>422.22</t>
  </si>
  <si>
    <t>239.97</t>
  </si>
  <si>
    <t>Sub-Total Stores &amp; Spares</t>
  </si>
  <si>
    <t>4613.24</t>
  </si>
  <si>
    <t>4508.94</t>
  </si>
  <si>
    <t>Less: Allowance for non-moving/obsolete items</t>
  </si>
  <si>
    <t>(328.12)</t>
  </si>
  <si>
    <t>(295.01)</t>
  </si>
  <si>
    <t>Net Stores &amp; Spares</t>
  </si>
  <si>
    <t>4285.12</t>
  </si>
  <si>
    <t>4213.93</t>
  </si>
  <si>
    <t>By-products (sub-grade fines)</t>
  </si>
  <si>
    <t>215.87</t>
  </si>
  <si>
    <t>791.29</t>
  </si>
  <si>
    <t>TOTAL INVENTORIES</t>
  </si>
  <si>
    <t>29072.36</t>
  </si>
  <si>
    <t>32645.58</t>
  </si>
  <si>
    <t>NOTE 16:  TRADE RECEIVABLES – CURRENT</t>
  </si>
  <si>
    <t>Trade Receivables – Considered Good Secured</t>
  </si>
  <si>
    <t>Trade Receivables – Considered Good Unsecured</t>
  </si>
  <si>
    <t>7557.15</t>
  </si>
  <si>
    <t>8308.72</t>
  </si>
  <si>
    <t>Trade receivables – significant increase in credit risk</t>
  </si>
  <si>
    <t>Trade receivables – credit impaired</t>
  </si>
  <si>
    <t>286.23</t>
  </si>
  <si>
    <t>275.30</t>
  </si>
  <si>
    <t>(286.23)</t>
  </si>
  <si>
    <t>(275.30)</t>
  </si>
  <si>
    <t>NET TRADE RECEIVABLES – CURRENT</t>
  </si>
  <si>
    <t>NOTE 17:  CASH AND CASH EQUIVALENTS  [NOTE 17(I)]</t>
  </si>
  <si>
    <t>Balance with Banks – Current accounts</t>
  </si>
  <si>
    <t>284.88</t>
  </si>
  <si>
    <t>2.07</t>
  </si>
  <si>
    <t>Term deposits with original maturity upto 3 months</t>
  </si>
  <si>
    <t>0.50</t>
  </si>
  <si>
    <t>Term deposits as per court orders (maturity upto 3 months)</t>
  </si>
  <si>
    <t>Cheques in hand</t>
  </si>
  <si>
    <t>Cash and stamps on hand</t>
  </si>
  <si>
    <t>0.24</t>
  </si>
  <si>
    <t>11.66</t>
  </si>
  <si>
    <t>CASH AND CASH EQUIVALENTS</t>
  </si>
  <si>
    <t>NOTE 17:  BANK BALANCES OTHER THAN CASH  [NOTE 17(II)]</t>
  </si>
  <si>
    <t>Term Deposits as per court orders</t>
  </si>
  <si>
    <t>499.22</t>
  </si>
  <si>
    <t>441.34</t>
  </si>
  <si>
    <t>Earmarked Term Deposits</t>
  </si>
  <si>
    <t>34.18</t>
  </si>
  <si>
    <t>34.59</t>
  </si>
  <si>
    <t>Unpaid dividend accounts</t>
  </si>
  <si>
    <t>10.17</t>
  </si>
  <si>
    <t>9.87</t>
  </si>
  <si>
    <t>Unspent CSR balance 2022-23</t>
  </si>
  <si>
    <t>24.24</t>
  </si>
  <si>
    <t>34.31</t>
  </si>
  <si>
    <t>Unspent CSR balance 2023-24</t>
  </si>
  <si>
    <t>51.59</t>
  </si>
  <si>
    <t>78.26</t>
  </si>
  <si>
    <t>BANK BALANCES OTHER THAN CASH &amp; CASH EQUIVALENTS</t>
  </si>
  <si>
    <t>619.40</t>
  </si>
  <si>
    <t>527.87</t>
  </si>
  <si>
    <t>NOTE 18:  LOANS – CURRENT</t>
  </si>
  <si>
    <t>Loan to employees – Considered good Unsecured</t>
  </si>
  <si>
    <t>23.35</t>
  </si>
  <si>
    <t>29.06</t>
  </si>
  <si>
    <t>Loan to related parties</t>
  </si>
  <si>
    <t>1.10</t>
  </si>
  <si>
    <t>Loan to others</t>
  </si>
  <si>
    <t>24.45</t>
  </si>
  <si>
    <t>30.16</t>
  </si>
  <si>
    <t>NET LOANS – CURRENT</t>
  </si>
  <si>
    <t>22.60</t>
  </si>
  <si>
    <t>28.31</t>
  </si>
  <si>
    <t>NOTE 19:  OTHER FINANCIAL ASSETS – CURRENT</t>
  </si>
  <si>
    <t>21.80</t>
  </si>
  <si>
    <t>19.05</t>
  </si>
  <si>
    <t>888.58</t>
  </si>
  <si>
    <t>787.38</t>
  </si>
  <si>
    <t>18.94</t>
  </si>
  <si>
    <t>16.75</t>
  </si>
  <si>
    <t>Amount recoverable from Gratuity Trust</t>
  </si>
  <si>
    <t>193.68</t>
  </si>
  <si>
    <t>456.98</t>
  </si>
  <si>
    <t>Advances to related parties</t>
  </si>
  <si>
    <t>51.15</t>
  </si>
  <si>
    <t>71.22</t>
  </si>
  <si>
    <t>Less: Allowance for doubtful advances to related parties</t>
  </si>
  <si>
    <t>(9.26)</t>
  </si>
  <si>
    <t>(7.27)</t>
  </si>
  <si>
    <t>Net Advances to related parties</t>
  </si>
  <si>
    <t>41.89</t>
  </si>
  <si>
    <t>63.95</t>
  </si>
  <si>
    <t>Receivable – others (rent, electricity, hospital, BJCL)</t>
  </si>
  <si>
    <t>508.72</t>
  </si>
  <si>
    <t>488.23</t>
  </si>
  <si>
    <t>Gross Other Financial Assets – Current</t>
  </si>
  <si>
    <t>1673.61</t>
  </si>
  <si>
    <t>1831.34</t>
  </si>
  <si>
    <t>(452.30)</t>
  </si>
  <si>
    <t>(462.68)</t>
  </si>
  <si>
    <t>NET OTHER FINANCIAL ASSETS – CURRENT</t>
  </si>
  <si>
    <t>1221.31</t>
  </si>
  <si>
    <t>1368.66</t>
  </si>
  <si>
    <t>NOTE 20:  OTHER ASSETS – CURRENT</t>
  </si>
  <si>
    <t>Advances to contractors &amp; suppliers</t>
  </si>
  <si>
    <t>773.29</t>
  </si>
  <si>
    <t>676.79</t>
  </si>
  <si>
    <t>Advance others (incl. DVC, Royalty, Govt. Depts.)</t>
  </si>
  <si>
    <t>1624.45</t>
  </si>
  <si>
    <t>2923.93</t>
  </si>
  <si>
    <t>Gold coins in hand</t>
  </si>
  <si>
    <t>0.12</t>
  </si>
  <si>
    <t>0.14</t>
  </si>
  <si>
    <t>Port trust, excise dept., railways etc.</t>
  </si>
  <si>
    <t>0.13</t>
  </si>
  <si>
    <t>Others</t>
  </si>
  <si>
    <t>102.10</t>
  </si>
  <si>
    <t>57.45</t>
  </si>
  <si>
    <t>Deposit with Government authorities</t>
  </si>
  <si>
    <t>102.23</t>
  </si>
  <si>
    <t>57.58</t>
  </si>
  <si>
    <t>Deposits-GST</t>
  </si>
  <si>
    <t>12.32</t>
  </si>
  <si>
    <t>1.43</t>
  </si>
  <si>
    <t>GST receivable – input service</t>
  </si>
  <si>
    <t>1.68</t>
  </si>
  <si>
    <t>5.16</t>
  </si>
  <si>
    <t>GST receivable</t>
  </si>
  <si>
    <t>322.86</t>
  </si>
  <si>
    <t>716.36</t>
  </si>
  <si>
    <t>TDS deducted by customers on GST</t>
  </si>
  <si>
    <t>1.28</t>
  </si>
  <si>
    <t>0.16</t>
  </si>
  <si>
    <t>74.20</t>
  </si>
  <si>
    <t>75.20</t>
  </si>
  <si>
    <t>67.14</t>
  </si>
  <si>
    <t>75.61</t>
  </si>
  <si>
    <t>Export incentive receivables</t>
  </si>
  <si>
    <t>12.69</t>
  </si>
  <si>
    <t>37.53</t>
  </si>
  <si>
    <t>2992.26</t>
  </si>
  <si>
    <t>4569.89</t>
  </si>
  <si>
    <t>(81.32)</t>
  </si>
  <si>
    <t>(28.84)</t>
  </si>
  <si>
    <t>NET OTHER ASSETS – CURRENT</t>
  </si>
  <si>
    <t>2910.94</t>
  </si>
  <si>
    <t>4541.05</t>
  </si>
  <si>
    <t>NOTE 21:  ASSETS CLASSIFIED AS HELD FOR SALE</t>
  </si>
  <si>
    <t>Assets classified as held for sale (at lower of carrying value or FV less cost to sell)</t>
  </si>
  <si>
    <t>3.90</t>
  </si>
  <si>
    <t>15.11</t>
  </si>
  <si>
    <t>ASSETS HELD FOR SALE</t>
  </si>
  <si>
    <t>NOTE 22:  EQUITY SHARE CAPITAL</t>
  </si>
  <si>
    <t>Authorised Capital: 5,000,000,000 Equity shares of ₹10 each</t>
  </si>
  <si>
    <t>Equity shares with voting rights – Opening</t>
  </si>
  <si>
    <t>Shares converted to voting rights during year</t>
  </si>
  <si>
    <t>Equity shares with voting rights – Closing</t>
  </si>
  <si>
    <t>Equity shares without voting rights (GDR) – Opening</t>
  </si>
  <si>
    <t>Shares converted from GDR during year</t>
  </si>
  <si>
    <t>Equity shares without voting rights (GDR) – Closing</t>
  </si>
  <si>
    <t>TOTAL EQUITY SHARE CAPITAL  (4,130,525,289 shares of ₹10 each fully paid)</t>
  </si>
  <si>
    <t>NOTE 23:  OTHER EQUITY</t>
  </si>
  <si>
    <t>Capital Reserve – Opening</t>
  </si>
  <si>
    <t>Capital Reserve – Closing</t>
  </si>
  <si>
    <t>Securities Premium – Opening / Closing</t>
  </si>
  <si>
    <t>Bond Redemption Reserve – Opening</t>
  </si>
  <si>
    <t>Transfer to Retained Earnings</t>
  </si>
  <si>
    <t>Bond Redemption Reserve – Closing</t>
  </si>
  <si>
    <t>General Reserve – Opening / Closing</t>
  </si>
  <si>
    <t>Retained Earnings – Opening</t>
  </si>
  <si>
    <t>Net Profit for the year</t>
  </si>
  <si>
    <t>OCI – Remeasurement of defined benefit plans</t>
  </si>
  <si>
    <t>Transfer from Bond Redemption Reserve</t>
  </si>
  <si>
    <t>OCI Tax Adjustments</t>
  </si>
  <si>
    <t>Less: Final dividend paid</t>
  </si>
  <si>
    <t>Less: Interim dividend paid</t>
  </si>
  <si>
    <t>Retained Earnings – Closing</t>
  </si>
  <si>
    <t>OCI – FVOCI Equity Instruments – Opening</t>
  </si>
  <si>
    <t>Change in fair value of FVOCI equity instruments</t>
  </si>
  <si>
    <t>Deferred tax on FVOCI</t>
  </si>
  <si>
    <t>OCI Reserve – Closing</t>
  </si>
  <si>
    <t>TOTAL OTHER EQUITY</t>
  </si>
  <si>
    <t>51525.88</t>
  </si>
  <si>
    <t>50999.21</t>
  </si>
  <si>
    <t>NOTE 24:  BORROWINGS – NON CURRENT</t>
  </si>
  <si>
    <t>SECURED</t>
  </si>
  <si>
    <t>Redeemable Non-Convertible Bonds</t>
  </si>
  <si>
    <t>8.80% bonds (maturity 26-Oct-2025) – fully transferred to current</t>
  </si>
  <si>
    <t>14.00</t>
  </si>
  <si>
    <t>Total Bonds (A)</t>
  </si>
  <si>
    <t>Term Loans from Banks – Rupee Loans</t>
  </si>
  <si>
    <t>7.27% Bank of India</t>
  </si>
  <si>
    <t>4100.00</t>
  </si>
  <si>
    <t>7.40% South Indian Bank</t>
  </si>
  <si>
    <t>7.65% State Bank of India</t>
  </si>
  <si>
    <t>7.25% Bank of Baroda</t>
  </si>
  <si>
    <t>7.24% Bank of Baroda</t>
  </si>
  <si>
    <t>7.30% Bank of Baroda</t>
  </si>
  <si>
    <t>7.38% Bank of Baroda</t>
  </si>
  <si>
    <t>7.27% Bank of Baroda</t>
  </si>
  <si>
    <t>Total Term Loans from Banks (B)</t>
  </si>
  <si>
    <t>Total Secured Loans (A+B)</t>
  </si>
  <si>
    <t>UNSECURED</t>
  </si>
  <si>
    <t>KFW Germany – Foreign currency loan</t>
  </si>
  <si>
    <t>Natexis Banque – Foreign currency loan</t>
  </si>
  <si>
    <t>Steel Development Fund</t>
  </si>
  <si>
    <t>Total Unsecured Loans</t>
  </si>
  <si>
    <t>TOTAL NON-CURRENT BORROWINGS</t>
  </si>
  <si>
    <t>NOTE 25:  TRADE PAYABLES – NON CURRENT</t>
  </si>
  <si>
    <t>Due to MSME enterprises</t>
  </si>
  <si>
    <t>Amount payable to contractors/suppliers/others</t>
  </si>
  <si>
    <t>TRADE PAYABLES – NON CURRENT</t>
  </si>
  <si>
    <t>NOTE 26:  OTHER FINANCIAL LIABILITIES – NON CURRENT</t>
  </si>
  <si>
    <t>Employees related dues</t>
  </si>
  <si>
    <t>687.41</t>
  </si>
  <si>
    <t>737.28</t>
  </si>
  <si>
    <t>Interest accrued but not due on borrowings</t>
  </si>
  <si>
    <t>377.81</t>
  </si>
  <si>
    <t>408.93</t>
  </si>
  <si>
    <t>Other payables (incl. security deposits from shopkeepers/contractors)</t>
  </si>
  <si>
    <t>OTHER FINANCIAL LIABILITIES – NON CURRENT</t>
  </si>
  <si>
    <t>NOTE 27:  PROVISIONS – NON CURRENT</t>
  </si>
  <si>
    <t>Provision for gratuity</t>
  </si>
  <si>
    <t>Provision for accrued leave liability</t>
  </si>
  <si>
    <t>Provision for post retirement medical &amp; settlement benefits</t>
  </si>
  <si>
    <t>2034.44</t>
  </si>
  <si>
    <t>1854.77</t>
  </si>
  <si>
    <t>Provision for long term service award</t>
  </si>
  <si>
    <t>16.36</t>
  </si>
  <si>
    <t>16.93</t>
  </si>
  <si>
    <t>Provision for mines closure</t>
  </si>
  <si>
    <t>Other provisions</t>
  </si>
  <si>
    <t>PROVISIONS – NON CURRENT</t>
  </si>
  <si>
    <t>NOTE 28:  OTHER LIABILITIES – NON CURRENT</t>
  </si>
  <si>
    <t>Deferred Income (Govt. grant – Super Speciality Hospital, Rourkela)</t>
  </si>
  <si>
    <t>493.13</t>
  </si>
  <si>
    <t>Other payables</t>
  </si>
  <si>
    <t>OTHER LIABILITIES – NON CURRENT</t>
  </si>
  <si>
    <t>NOTE 29:  BORROWINGS – CURRENT</t>
  </si>
  <si>
    <t>Secured – Loans repayable on demand from banks</t>
  </si>
  <si>
    <t>Secured – Loans from other parties</t>
  </si>
  <si>
    <t>Current maturities of long term debts</t>
  </si>
  <si>
    <t>Unsecured – Loans repayable on demand from banks</t>
  </si>
  <si>
    <t>Unsecured – Commercial paper</t>
  </si>
  <si>
    <t>Unsecured – Foreign currency loans</t>
  </si>
  <si>
    <t>BORROWINGS – CURRENT</t>
  </si>
  <si>
    <t>NOTE 30:  TRADE PAYABLES – CURRENT</t>
  </si>
  <si>
    <t>Amount payable to related parties</t>
  </si>
  <si>
    <t>TRADE PAYABLES – CURRENT</t>
  </si>
  <si>
    <t>NOTE 31:  OTHER FINANCIAL LIABILITIES – CURRENT</t>
  </si>
  <si>
    <t>Interest accrued and due</t>
  </si>
  <si>
    <t>Unpaid dividends</t>
  </si>
  <si>
    <t>Unclaimed matured deposits and interest</t>
  </si>
  <si>
    <t>Employee related dues</t>
  </si>
  <si>
    <t>Other liabilities – debtors banking arrangement</t>
  </si>
  <si>
    <t>Security deposits (net of investments received)</t>
  </si>
  <si>
    <t>Unspent CSR balance 2024-25</t>
  </si>
  <si>
    <t>Payable for capital work</t>
  </si>
  <si>
    <t>Other payables (salary, wages, royalty, pension)</t>
  </si>
  <si>
    <t>OTHER FINANCIAL LIABILITIES – CURRENT</t>
  </si>
  <si>
    <t>NOTE 32:  OTHER LIABILITIES – CURRENT</t>
  </si>
  <si>
    <t>Income received in advance from customers</t>
  </si>
  <si>
    <t>Income received in advance – others</t>
  </si>
  <si>
    <t>Deferred Income</t>
  </si>
  <si>
    <t>GST Collection payable</t>
  </si>
  <si>
    <t>GST payable</t>
  </si>
  <si>
    <t>GST payable – RCM</t>
  </si>
  <si>
    <t>Claims – reverse charge RCM</t>
  </si>
  <si>
    <t>TDS deducted from suppliers on GST</t>
  </si>
  <si>
    <t>Other payables (incl. TDS from employees, Govt. dept.)</t>
  </si>
  <si>
    <t>OTHER LIABILITIES – CURRENT</t>
  </si>
  <si>
    <t>NOTE 33:  PROVISIONS – CURRENT</t>
  </si>
  <si>
    <t>Provision for pollution control</t>
  </si>
  <si>
    <t>Provision for foreign exchange fluctuation</t>
  </si>
  <si>
    <t>Provision for mine afforestation/restoration</t>
  </si>
  <si>
    <t>Other provisions (DVC, Railway related, other assets)</t>
  </si>
  <si>
    <t>PROVISIONS – CURRENT</t>
  </si>
  <si>
    <t>NOTE 34:  CURRENT TAX LIABILITIES (NET)</t>
  </si>
  <si>
    <t>Opening Balance</t>
  </si>
  <si>
    <t>Add: Provision during the year</t>
  </si>
  <si>
    <t>Less: Amount paid/transferred during the year</t>
  </si>
  <si>
    <t>Less: Provision written back during the year</t>
  </si>
  <si>
    <t>CURRENT TAX LIABILITIES (NET) – CLOSING</t>
  </si>
  <si>
    <t>NOTE 35:  REVENUE FROM OPERATIONS</t>
  </si>
  <si>
    <t>Sale of products – Domestic</t>
  </si>
  <si>
    <t>Sale of products – Exports</t>
  </si>
  <si>
    <t>Sub-Total: Sale of Products (a)</t>
  </si>
  <si>
    <t>Sale of Services – Service charges (b)</t>
  </si>
  <si>
    <t>Export incentives</t>
  </si>
  <si>
    <t>Social amenities recoveries</t>
  </si>
  <si>
    <t>Sale of empties etc.</t>
  </si>
  <si>
    <t>Sundries</t>
  </si>
  <si>
    <t>Sub-Total: Other Operating Revenues (c)</t>
  </si>
  <si>
    <t>REVENUE FROM OPERATIONS [a+b+c]</t>
  </si>
  <si>
    <t>102478.19</t>
  </si>
  <si>
    <t>105374.59</t>
  </si>
  <si>
    <t>NOTE 36:  OTHER INCOME</t>
  </si>
  <si>
    <t>Interest income – Customers</t>
  </si>
  <si>
    <t>Interest income – Employees</t>
  </si>
  <si>
    <t>Interest income – Bank deposits</t>
  </si>
  <si>
    <t>Interest income – Others</t>
  </si>
  <si>
    <t>Sub-Total: Interest income (a)</t>
  </si>
  <si>
    <t>Dividend from subsidiaries</t>
  </si>
  <si>
    <t>Dividend from investments</t>
  </si>
  <si>
    <t>Sub-Total: Dividend income (b)</t>
  </si>
  <si>
    <t>Net gain on sale of investments (c)</t>
  </si>
  <si>
    <t>Subsidy, relief and concession</t>
  </si>
  <si>
    <t>Grant-in-aid</t>
  </si>
  <si>
    <t>Allowances no longer required written back</t>
  </si>
  <si>
    <t>Write back of other liabilities</t>
  </si>
  <si>
    <t>Liquidated damages</t>
  </si>
  <si>
    <t>Sub-Total: Other non-operating income (d)</t>
  </si>
  <si>
    <t>Less: Expenses attributable to non-operating income</t>
  </si>
  <si>
    <t>Net Other Non-Operating Income (d)</t>
  </si>
  <si>
    <t>TOTAL OTHER INCOME [a+b+c+d]</t>
  </si>
  <si>
    <t>1134.41</t>
  </si>
  <si>
    <t>1148.06</t>
  </si>
  <si>
    <t>NOTE 37:  COST OF MATERIALS CONSUMED</t>
  </si>
  <si>
    <t>Iron ore</t>
  </si>
  <si>
    <t>Coal</t>
  </si>
  <si>
    <t>Coke</t>
  </si>
  <si>
    <t>Limestone</t>
  </si>
  <si>
    <t>Dolomite</t>
  </si>
  <si>
    <t>Ferro manganese</t>
  </si>
  <si>
    <t>Ferro silicon</t>
  </si>
  <si>
    <t>Silico manganese</t>
  </si>
  <si>
    <t>Zinc</t>
  </si>
  <si>
    <t>Aluminium</t>
  </si>
  <si>
    <t>Gross Materials Consumed</t>
  </si>
  <si>
    <t>Less: Inter account adjustments</t>
  </si>
  <si>
    <t>COST OF MATERIALS CONSUMED</t>
  </si>
  <si>
    <t>NOTE 38:  CHANGES IN INVENTORIES OF FG, WIP &amp; BY-PRODUCTS</t>
  </si>
  <si>
    <t>Opening stock – Finished goods</t>
  </si>
  <si>
    <t>Opening stock – Work in progress</t>
  </si>
  <si>
    <t>Opening stock – Iron ore fines (sub-grade)</t>
  </si>
  <si>
    <t>Total Opening Stock</t>
  </si>
  <si>
    <t>Closing stock – Finished goods</t>
  </si>
  <si>
    <t>Closing stock – Work in progress</t>
  </si>
  <si>
    <t>Closing stock – Iron ore fines (sub-grade)</t>
  </si>
  <si>
    <t>Total Closing Stock</t>
  </si>
  <si>
    <t>(Accretion)/Depletion to Stock  [+ve = decrease in stock]</t>
  </si>
  <si>
    <t>92.13</t>
  </si>
  <si>
    <t>(3352.92)</t>
  </si>
  <si>
    <t>NOTE 39:  EMPLOYEE BENEFITS EXPENSE</t>
  </si>
  <si>
    <t>Salaries &amp; wages</t>
  </si>
  <si>
    <t>Leave encashment</t>
  </si>
  <si>
    <t>Company's contribution to provident &amp; other funds</t>
  </si>
  <si>
    <t>Travel concession</t>
  </si>
  <si>
    <t>Welfare expenses</t>
  </si>
  <si>
    <t>Gratuity</t>
  </si>
  <si>
    <t>EMPLOYEE BENEFITS EXPENSE</t>
  </si>
  <si>
    <t>NOTE 40:  FINANCE COSTS</t>
  </si>
  <si>
    <t>Interest – Foreign currency loans</t>
  </si>
  <si>
    <t>Interest – Non-convertible bonds</t>
  </si>
  <si>
    <t>Interest – Bank borrowings (working capital)</t>
  </si>
  <si>
    <t>Interest – Steel development fund loans</t>
  </si>
  <si>
    <t>Interest – Other bank borrowings</t>
  </si>
  <si>
    <t>Interest under Income Tax Act</t>
  </si>
  <si>
    <t>Other borrowing costs</t>
  </si>
  <si>
    <t>FINANCE COSTS</t>
  </si>
  <si>
    <t>NOTE 41:  OTHER EXPENSES</t>
  </si>
  <si>
    <t>Consumption of stores &amp; spares (net)</t>
  </si>
  <si>
    <t>Repairs &amp; maintenance – Buildings</t>
  </si>
  <si>
    <t>Repairs &amp; maintenance – Plant &amp; machinery</t>
  </si>
  <si>
    <t>Repairs &amp; maintenance – Others</t>
  </si>
  <si>
    <t>Sub-Total Repairs &amp; Maintenance</t>
  </si>
  <si>
    <t>Handling expenses – Raw material</t>
  </si>
  <si>
    <t>Handling expenses – Scrap recovery</t>
  </si>
  <si>
    <t>Sub-Total Handling Expenses</t>
  </si>
  <si>
    <t>Remuneration to auditors – Audit fees</t>
  </si>
  <si>
    <t>Remuneration to auditors – Tax audit fees</t>
  </si>
  <si>
    <t>Remuneration to auditors – Other services</t>
  </si>
  <si>
    <t>Remuneration to auditors – Out of pocket</t>
  </si>
  <si>
    <t>Sub-Total Auditor Remuneration</t>
  </si>
  <si>
    <t>Allowance – Doubtful debts, loans &amp; advances</t>
  </si>
  <si>
    <t>Allowance – Investments</t>
  </si>
  <si>
    <t>Allowance – Stores, spares &amp; sundries</t>
  </si>
  <si>
    <t>Sub-Total Allowances</t>
  </si>
  <si>
    <t>Power and fuel</t>
  </si>
  <si>
    <t>Freight outward</t>
  </si>
  <si>
    <t>Royalty and cess</t>
  </si>
  <si>
    <t>Conversion charges</t>
  </si>
  <si>
    <t>Demurrage &amp; wharfage</t>
  </si>
  <si>
    <t>Water charges &amp; cess on water pollution</t>
  </si>
  <si>
    <t>Insurance</t>
  </si>
  <si>
    <t>Security expenses</t>
  </si>
  <si>
    <t>Travelling expenses</t>
  </si>
  <si>
    <t>Law charges</t>
  </si>
  <si>
    <t>Training expenses</t>
  </si>
  <si>
    <t>Expenditure on CSR</t>
  </si>
  <si>
    <t>Foreign exchange fluctuations (net)</t>
  </si>
  <si>
    <t>Loss on sale/scrapping of fixed assets (net)</t>
  </si>
  <si>
    <t>Handling expenses – finished goods</t>
  </si>
  <si>
    <t>Commission to selling agents</t>
  </si>
  <si>
    <t>Export sales expenses</t>
  </si>
  <si>
    <t>Miscellaneous expenses</t>
  </si>
  <si>
    <t>OTHER EXPENSES</t>
  </si>
  <si>
    <t>29288.26</t>
  </si>
  <si>
    <t>28229.04</t>
  </si>
  <si>
    <t>STEEL AUTHORITY OF INDIA LIMITED – CONSOLIDATED BALANCE SHEET</t>
  </si>
  <si>
    <t xml:space="preserve">    Investments – Equity Method (JVs/Associates)</t>
  </si>
  <si>
    <t xml:space="preserve">    Current Tax Assets</t>
  </si>
  <si>
    <t xml:space="preserve">    Non-Controlling Interest</t>
  </si>
  <si>
    <t>Source: SAIL Integrated Annual Report FY 2024-25, Page 264 – Consolidated Balance Sheet</t>
  </si>
  <si>
    <t>STEEL AUTHORITY OF INDIA LIMITED – CONSOLIDATED STATEMENT OF PROFIT &amp; LOSS</t>
  </si>
  <si>
    <t>Profit Before Share of JV/Associates, Exceptional Items &amp; Tax</t>
  </si>
  <si>
    <t xml:space="preserve">    Share of Profit from JVs/Associates (Equity Method)</t>
  </si>
  <si>
    <t>PROFIT ATTRIBUTION</t>
  </si>
  <si>
    <t xml:space="preserve">    Attributable to Owners of the Parent</t>
  </si>
  <si>
    <t xml:space="preserve">    Attributable to Non-Controlling Interest</t>
  </si>
  <si>
    <t xml:space="preserve">    Income Tax on OCI (Items not reclassified)</t>
  </si>
  <si>
    <t xml:space="preserve">    Share of OCI of Associates &amp; JVs (Equity Method)</t>
  </si>
  <si>
    <t>Source: SAIL Integrated Annual Report FY 2024-25, Page 265 – Consolidated Statement of Profit &amp; Loss</t>
  </si>
  <si>
    <t>CONSOLIDATED CASH FLOW STATEMENT</t>
  </si>
  <si>
    <t>Share of profit from joint ventures</t>
  </si>
  <si>
    <t>69.38</t>
  </si>
  <si>
    <t>291.58</t>
  </si>
  <si>
    <t>NOTES TO CONSOLIDATED FINANCIAL STATEMENTS – ACCOUNT FORMAT</t>
  </si>
  <si>
    <t>129.25</t>
  </si>
  <si>
    <t>138.44</t>
  </si>
  <si>
    <t>(129.25)</t>
  </si>
  <si>
    <t>(138.44)</t>
  </si>
  <si>
    <t>931.71</t>
  </si>
  <si>
    <t>854.13</t>
  </si>
  <si>
    <t>953.13</t>
  </si>
  <si>
    <t>879.22</t>
  </si>
  <si>
    <t>950.93</t>
  </si>
  <si>
    <t>877.37</t>
  </si>
  <si>
    <t>317.54</t>
  </si>
  <si>
    <t>264.25</t>
  </si>
  <si>
    <t>139.56</t>
  </si>
  <si>
    <t>122.48</t>
  </si>
  <si>
    <t>671.79</t>
  </si>
  <si>
    <t>543.35</t>
  </si>
  <si>
    <t>(48.66)</t>
  </si>
  <si>
    <t>(98.39)</t>
  </si>
  <si>
    <t>623.13</t>
  </si>
  <si>
    <t>444.96</t>
  </si>
  <si>
    <t>452.14</t>
  </si>
  <si>
    <t>374.78</t>
  </si>
  <si>
    <t>242.75</t>
  </si>
  <si>
    <t>237.73</t>
  </si>
  <si>
    <t>2032.43</t>
  </si>
  <si>
    <t>70.43</t>
  </si>
  <si>
    <t>68.10</t>
  </si>
  <si>
    <t>2284.78</t>
  </si>
  <si>
    <t>3091.52</t>
  </si>
  <si>
    <t>(171.37)</t>
  </si>
  <si>
    <t>(236.46)</t>
  </si>
  <si>
    <t>2355.95</t>
  </si>
  <si>
    <t>3092.79</t>
  </si>
  <si>
    <t>6102.49</t>
  </si>
  <si>
    <t>7724.50</t>
  </si>
  <si>
    <t>5056.45</t>
  </si>
  <si>
    <t>9175.41</t>
  </si>
  <si>
    <t>12780.95</t>
  </si>
  <si>
    <t>9161.93</t>
  </si>
  <si>
    <t>12767.46</t>
  </si>
  <si>
    <t>5521.42</t>
  </si>
  <si>
    <t>4197.06</t>
  </si>
  <si>
    <t>9963.84</t>
  </si>
  <si>
    <t>11747.32</t>
  </si>
  <si>
    <t>3939.17</t>
  </si>
  <si>
    <t>4031.34</t>
  </si>
  <si>
    <t>238.63</t>
  </si>
  <si>
    <t>214.98</t>
  </si>
  <si>
    <t>4621.71</t>
  </si>
  <si>
    <t>4518.46</t>
  </si>
  <si>
    <t>(333.32)</t>
  </si>
  <si>
    <t>(300.14)</t>
  </si>
  <si>
    <t>4288.39</t>
  </si>
  <si>
    <t>4218.32</t>
  </si>
  <si>
    <t>29151.45</t>
  </si>
  <si>
    <t>32721.45</t>
  </si>
  <si>
    <t>7609.94</t>
  </si>
  <si>
    <t>8355.37</t>
  </si>
  <si>
    <t>289.40</t>
  </si>
  <si>
    <t>2.65</t>
  </si>
  <si>
    <t>1.94</t>
  </si>
  <si>
    <t>55.07</t>
  </si>
  <si>
    <t>34.35</t>
  </si>
  <si>
    <t>Fixed deposits (maturity 3-12 months)</t>
  </si>
  <si>
    <t>55.90</t>
  </si>
  <si>
    <t>83.42</t>
  </si>
  <si>
    <t>675.30</t>
  </si>
  <si>
    <t>603.57</t>
  </si>
  <si>
    <t>888.93</t>
  </si>
  <si>
    <t>787.78</t>
  </si>
  <si>
    <t>19.04</t>
  </si>
  <si>
    <t>16.85</t>
  </si>
  <si>
    <t>Less: Allowance for doubtful advances</t>
  </si>
  <si>
    <t>Receivable – others</t>
  </si>
  <si>
    <t>488.63</t>
  </si>
  <si>
    <t>1674.06</t>
  </si>
  <si>
    <t>1832.24</t>
  </si>
  <si>
    <t>(463.17)</t>
  </si>
  <si>
    <t>1221.76</t>
  </si>
  <si>
    <t>1369.07</t>
  </si>
  <si>
    <t>774.30</t>
  </si>
  <si>
    <t>678.06</t>
  </si>
  <si>
    <t>Claims receivable</t>
  </si>
  <si>
    <t>4542.32</t>
  </si>
  <si>
    <t>Capital Reserve – Opening / Closing</t>
  </si>
  <si>
    <t>Securities Premium – Opening</t>
  </si>
  <si>
    <t>Changes during the year</t>
  </si>
  <si>
    <t>Securities Premium – Closing</t>
  </si>
  <si>
    <t>General Reserve – Opening</t>
  </si>
  <si>
    <t>Additions during the year</t>
  </si>
  <si>
    <t>General Reserve – Closing</t>
  </si>
  <si>
    <t>Less: Final dividend</t>
  </si>
  <si>
    <t>Less: Transfer to General Reserve</t>
  </si>
  <si>
    <t>Share in OCI of equity accounted investees – Opening</t>
  </si>
  <si>
    <t>Share in OCI of equity accounted investees – Closing</t>
  </si>
  <si>
    <t>54775.08</t>
  </si>
  <si>
    <t>52970.69</t>
  </si>
  <si>
    <t>5.93</t>
  </si>
  <si>
    <t>6.07</t>
  </si>
  <si>
    <t>407.35</t>
  </si>
  <si>
    <t>303.78</t>
  </si>
  <si>
    <t>1472.57</t>
  </si>
  <si>
    <t>1449.99</t>
  </si>
  <si>
    <t>0.57</t>
  </si>
  <si>
    <t>3504.02</t>
  </si>
  <si>
    <t>3364.88</t>
  </si>
  <si>
    <t>256.89</t>
  </si>
  <si>
    <t>229.94</t>
  </si>
  <si>
    <t>294.15</t>
  </si>
  <si>
    <t>271.10</t>
  </si>
  <si>
    <t>6106.43</t>
  </si>
  <si>
    <t>5737.62</t>
  </si>
  <si>
    <t>19710.17</t>
  </si>
  <si>
    <t>Payable for capital works</t>
  </si>
  <si>
    <t>9671.15</t>
  </si>
  <si>
    <t>Provision for wage revision</t>
  </si>
  <si>
    <t>Sub-Total: Other non-operating income</t>
  </si>
  <si>
    <t>(Accretion)/Depletion to Stock</t>
  </si>
  <si>
    <t>Remuneration to auditors (total)</t>
  </si>
  <si>
    <t xml:space="preserve">STEEL AUTHORITY OF INDIA LIMITED </t>
  </si>
  <si>
    <t>Wegithr Average Cost Of Capital</t>
  </si>
  <si>
    <t>All Figure are in INR  unless Stated Otherwise</t>
  </si>
  <si>
    <t xml:space="preserve"> </t>
  </si>
  <si>
    <t xml:space="preserve">Weighted Average Cost of Capital </t>
  </si>
  <si>
    <t>Equity /</t>
  </si>
  <si>
    <t>Debt/</t>
  </si>
  <si>
    <t>Cost of</t>
  </si>
  <si>
    <t>Name oF Company</t>
  </si>
  <si>
    <t>Country</t>
  </si>
  <si>
    <t>Total Debt</t>
  </si>
  <si>
    <t>Tax Rate 1</t>
  </si>
  <si>
    <t>Weights</t>
  </si>
  <si>
    <t>Debt</t>
  </si>
  <si>
    <t>Cost of Equity</t>
  </si>
  <si>
    <t>Iindia</t>
  </si>
  <si>
    <t>Equity Weight</t>
  </si>
  <si>
    <t>Cost of Debt</t>
  </si>
  <si>
    <t>Total Capital</t>
  </si>
  <si>
    <t>Debt Weight</t>
  </si>
  <si>
    <t>WACC</t>
  </si>
  <si>
    <t>Working Notes -No.1</t>
  </si>
  <si>
    <t xml:space="preserve"> STEEL AUTHORITY OF INDIA LIMITED  Dividends </t>
  </si>
  <si>
    <t>Working Note No .2 Kd</t>
  </si>
  <si>
    <t>Announcement Date</t>
  </si>
  <si>
    <t>Final Dividend (Rs)</t>
  </si>
  <si>
    <t>Interim Dividend (Rs</t>
  </si>
  <si>
    <t>Total Dividend (Rs)</t>
  </si>
  <si>
    <t>Yearly Growth rate</t>
  </si>
  <si>
    <t>Calculation oF Interest</t>
  </si>
  <si>
    <t>Pre-Tax Cost of Debt</t>
  </si>
  <si>
    <t>Interest</t>
  </si>
  <si>
    <t>Tax</t>
  </si>
  <si>
    <t>After Tax Cost Debt</t>
  </si>
  <si>
    <t>Avearge Growth</t>
  </si>
  <si>
    <t>CAGR</t>
  </si>
  <si>
    <t>Median</t>
  </si>
  <si>
    <t>Working Note.1(a)</t>
  </si>
  <si>
    <t>Market Price</t>
  </si>
  <si>
    <t>Taken From Nse</t>
  </si>
  <si>
    <t>D1</t>
  </si>
  <si>
    <t>Ke</t>
  </si>
  <si>
    <t>FCFF Growth Rate</t>
  </si>
  <si>
    <t>Total Cash</t>
  </si>
  <si>
    <t>Net Operating Profit Before Tax</t>
  </si>
  <si>
    <t xml:space="preserve"> NOPAT</t>
  </si>
  <si>
    <t>Invested Capital</t>
  </si>
  <si>
    <t>Return on Invested Capital(ROIC)</t>
  </si>
  <si>
    <t>Working Notes -No.2</t>
  </si>
  <si>
    <t>Capx</t>
  </si>
  <si>
    <t>PPE+CWIP(+ Right of Use if required)</t>
  </si>
  <si>
    <t>Operating Current Assets</t>
  </si>
  <si>
    <t xml:space="preserve">      Other Current Assets Consider as operating part</t>
  </si>
  <si>
    <t>Operating Liabilities Assets</t>
  </si>
  <si>
    <t>(Provisions included)</t>
  </si>
  <si>
    <t xml:space="preserve"> Change Capx</t>
  </si>
  <si>
    <t xml:space="preserve"> Working capital </t>
  </si>
  <si>
    <t>WC=OCA−OCL</t>
  </si>
  <si>
    <t>Change in Working capital ΔWC</t>
  </si>
  <si>
    <t>ΔWC=WCcurrent​−WCprevious​</t>
  </si>
  <si>
    <t>Deprecation</t>
  </si>
  <si>
    <t xml:space="preserve"> Reinvestment</t>
  </si>
  <si>
    <t>Reinvestment= change in CapEx−Depreciation+ΔWC</t>
  </si>
  <si>
    <t>CapEx = Actual spending during the year</t>
  </si>
  <si>
    <t xml:space="preserve"> Reinvestment Rate</t>
  </si>
  <si>
    <t>Working Notes -No.1 *Working Notes -No.2</t>
  </si>
  <si>
    <t>FCFE</t>
  </si>
  <si>
    <t>Profit After Tax</t>
  </si>
  <si>
    <r>
      <t>Change Debt</t>
    </r>
    <r>
      <rPr>
        <sz val="9"/>
        <color theme="1"/>
        <rFont val="Calibri"/>
        <family val="2"/>
      </rPr>
      <t>(</t>
    </r>
    <r>
      <rPr>
        <i/>
        <sz val="9"/>
        <color theme="1"/>
        <rFont val="Calibri"/>
        <family val="2"/>
      </rPr>
      <t>Net Borrowings</t>
    </r>
    <r>
      <rPr>
        <sz val="9"/>
        <color theme="1"/>
        <rFont val="Calibri"/>
        <family val="2"/>
      </rPr>
      <t>)</t>
    </r>
  </si>
  <si>
    <t>Capital Assets Pricing Model</t>
  </si>
  <si>
    <t>Nifty 50</t>
  </si>
  <si>
    <t>Date</t>
  </si>
  <si>
    <t>Close Price</t>
  </si>
  <si>
    <t>Yearly Return</t>
  </si>
  <si>
    <t>Average Return</t>
  </si>
  <si>
    <t>Total Market Return</t>
  </si>
  <si>
    <t>SAIL</t>
  </si>
  <si>
    <t>EQ</t>
  </si>
  <si>
    <t>Stock Return</t>
  </si>
  <si>
    <r>
      <t>R</t>
    </r>
    <r>
      <rPr>
        <vertAlign val="subscript"/>
        <sz val="11"/>
        <color theme="1"/>
        <rFont val="Calibri"/>
        <family val="2"/>
        <scheme val="minor"/>
      </rPr>
      <t>F</t>
    </r>
  </si>
  <si>
    <t>https://www.bloomberg.com/markets/rates-bonds</t>
  </si>
  <si>
    <r>
      <t>R</t>
    </r>
    <r>
      <rPr>
        <vertAlign val="subscript"/>
        <sz val="11"/>
        <color theme="1"/>
        <rFont val="Calibri"/>
        <family val="2"/>
        <scheme val="minor"/>
      </rPr>
      <t>m</t>
    </r>
  </si>
  <si>
    <r>
      <t>E</t>
    </r>
    <r>
      <rPr>
        <vertAlign val="subscript"/>
        <sz val="11"/>
        <color theme="1"/>
        <rFont val="Calibri"/>
        <family val="2"/>
        <scheme val="minor"/>
      </rPr>
      <t>R</t>
    </r>
  </si>
  <si>
    <t>CAPM</t>
  </si>
  <si>
    <t xml:space="preserve">Symbol  </t>
  </si>
  <si>
    <t xml:space="preserve">Series  </t>
  </si>
  <si>
    <t xml:space="preserve">Date  </t>
  </si>
  <si>
    <t xml:space="preserve">Close Price  </t>
  </si>
  <si>
    <t xml:space="preserve">Date </t>
  </si>
  <si>
    <t xml:space="preserve">Close </t>
  </si>
  <si>
    <t>BETA</t>
  </si>
  <si>
    <t>FY -25</t>
  </si>
  <si>
    <t>FY -26</t>
  </si>
  <si>
    <t>FY -27</t>
  </si>
  <si>
    <t>FY -28</t>
  </si>
  <si>
    <t>FY -29</t>
  </si>
  <si>
    <t>FY -30</t>
  </si>
  <si>
    <t>Perpetual Growth</t>
  </si>
  <si>
    <t>Conservative estimate (recommended for valuation):</t>
  </si>
  <si>
    <t>Factor</t>
  </si>
  <si>
    <t>Growth</t>
  </si>
  <si>
    <t>Company (SAIL)</t>
  </si>
  <si>
    <t>Industry (Steel)</t>
  </si>
  <si>
    <t>GDP (India)</t>
  </si>
  <si>
    <t>Terminal Value</t>
  </si>
  <si>
    <t>TV=Ke​−gFCFE6​​</t>
  </si>
  <si>
    <t>PV of Terminal Value</t>
  </si>
  <si>
    <t>PV of FCFE</t>
  </si>
  <si>
    <t>FCFF OP</t>
  </si>
  <si>
    <t>FCFE(Forecast)</t>
  </si>
  <si>
    <t>Total Equity Value</t>
  </si>
  <si>
    <t>TOTAL NO. EQUITY SHARE</t>
  </si>
  <si>
    <t>Share Price</t>
  </si>
  <si>
    <t>Source:Consolidated Notes (Account)  convert in  cr</t>
  </si>
  <si>
    <t>covert in cr</t>
  </si>
  <si>
    <t>Working note No.3</t>
  </si>
  <si>
    <t>Consolidated Cash Flow financing activity</t>
  </si>
  <si>
    <t>Intrinsic Share Price</t>
  </si>
  <si>
    <t xml:space="preserve"> 4% -5%</t>
  </si>
  <si>
    <t>Conservative estimate</t>
  </si>
  <si>
    <t>Optimistic scenario:</t>
  </si>
  <si>
    <r>
      <t xml:space="preserve"> </t>
    </r>
    <r>
      <rPr>
        <b/>
        <sz val="11"/>
        <color theme="1"/>
        <rFont val="Calibri"/>
        <family val="2"/>
        <charset val="1"/>
      </rPr>
      <t>g = 5% – 6%</t>
    </r>
  </si>
  <si>
    <t>Aggressive (not recommended):</t>
  </si>
  <si>
    <r>
      <t xml:space="preserve"> </t>
    </r>
    <r>
      <rPr>
        <b/>
        <sz val="11"/>
        <color theme="1"/>
        <rFont val="Calibri"/>
        <family val="2"/>
        <charset val="1"/>
      </rPr>
      <t>g = 6% – 7%</t>
    </r>
  </si>
  <si>
    <r>
      <t>K</t>
    </r>
    <r>
      <rPr>
        <b/>
        <vertAlign val="subscript"/>
        <sz val="11"/>
        <color theme="1"/>
        <rFont val="Calibri"/>
        <family val="2"/>
      </rPr>
      <t>e</t>
    </r>
  </si>
  <si>
    <t>Daily return</t>
  </si>
  <si>
    <t>Daiy Return</t>
  </si>
  <si>
    <t>6–8%</t>
  </si>
  <si>
    <t>6–7%</t>
  </si>
  <si>
    <t>Forecast FCFE (5 Years @ -4.5%)</t>
  </si>
  <si>
    <t>Working Note.3</t>
  </si>
  <si>
    <t>Return on Equity</t>
  </si>
  <si>
    <t>Equity Reinvestment</t>
  </si>
  <si>
    <t>Equity Reinvestment Rate</t>
  </si>
  <si>
    <t>FCFE Growth</t>
  </si>
  <si>
    <t>TATASTEEL</t>
  </si>
  <si>
    <t>JSWSTEEL</t>
  </si>
  <si>
    <t>NSLNISP</t>
  </si>
  <si>
    <t>JINDALSTEL</t>
  </si>
  <si>
    <t>1. Tax Rate considered as Marginal Tax Rate for the country</t>
  </si>
  <si>
    <r>
      <t>Beta</t>
    </r>
    <r>
      <rPr>
        <b/>
        <vertAlign val="subscript"/>
        <sz val="11"/>
        <color theme="1"/>
        <rFont val="Calibri"/>
        <family val="2"/>
      </rPr>
      <t>1</t>
    </r>
  </si>
  <si>
    <t>FCFE Growth Rate</t>
  </si>
  <si>
    <t>FCFE Calculation</t>
  </si>
  <si>
    <t>Terminal Value Calculation</t>
  </si>
  <si>
    <r>
      <t>FCFE</t>
    </r>
    <r>
      <rPr>
        <vertAlign val="subscript"/>
        <sz val="10"/>
        <rFont val="Arial"/>
        <family val="2"/>
      </rPr>
      <t>6Y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</si>
</sst>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0.000"/>
    <numFmt numFmtId="166" formatCode="0.000%"/>
  </numFmts>
  <fonts count="5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3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8"/>
      <color rgb="FF666666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sz val="11"/>
      <color rgb="FF3333FF"/>
      <name val="Calibri"/>
      <family val="2"/>
    </font>
    <font>
      <b/>
      <sz val="11"/>
      <color rgb="FF3333FF"/>
      <name val="Calibri"/>
      <family val="2"/>
    </font>
    <font>
      <sz val="11"/>
      <color rgb="FF3333FF"/>
      <name val="Segoe UI"/>
      <family val="2"/>
    </font>
    <font>
      <sz val="11"/>
      <color theme="0" tint="-4.9989318521683403E-2"/>
      <name val="Calibri"/>
      <family val="2"/>
      <charset val="1"/>
    </font>
    <font>
      <sz val="11"/>
      <color theme="0"/>
      <name val="Calibri"/>
      <family val="2"/>
      <charset val="1"/>
    </font>
    <font>
      <i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b/>
      <sz val="11"/>
      <color theme="0" tint="-0.34998626667073579"/>
      <name val="Calibri"/>
      <family val="2"/>
    </font>
    <font>
      <i/>
      <sz val="9"/>
      <color theme="0" tint="-0.34998626667073579"/>
      <name val="Calibri"/>
      <family val="2"/>
    </font>
    <font>
      <sz val="9"/>
      <color theme="1"/>
      <name val="Calibri"/>
      <family val="2"/>
    </font>
    <font>
      <sz val="9"/>
      <color theme="0" tint="-0.34998626667073579"/>
      <name val="Calibri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i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i/>
      <sz val="8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charset val="1"/>
    </font>
    <font>
      <i/>
      <sz val="11"/>
      <color theme="1"/>
      <name val="Calibri"/>
      <family val="2"/>
    </font>
    <font>
      <i/>
      <sz val="9"/>
      <color theme="1"/>
      <name val="Calibri"/>
      <family val="2"/>
    </font>
    <font>
      <b/>
      <sz val="12"/>
      <color theme="1"/>
      <name val="Calibri"/>
      <family val="2"/>
    </font>
    <font>
      <sz val="11"/>
      <color rgb="FF3333FF"/>
      <name val="Calibri"/>
      <family val="2"/>
      <charset val="1"/>
    </font>
    <font>
      <sz val="11"/>
      <color theme="0" tint="-0.1499984740745262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E09D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0"/>
      <name val="Arial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9"/>
      <color theme="0" tint="-0.249977111117893"/>
      <name val="Calibri"/>
      <family val="2"/>
    </font>
    <font>
      <b/>
      <vertAlign val="subscript"/>
      <sz val="11"/>
      <color theme="1"/>
      <name val="Calibri"/>
      <family val="2"/>
    </font>
    <font>
      <i/>
      <sz val="11"/>
      <color theme="0" tint="-0.249977111117893"/>
      <name val="Calibri"/>
      <family val="2"/>
    </font>
    <font>
      <sz val="11"/>
      <color theme="4" tint="-0.249977111117893"/>
      <name val="Calibri"/>
      <family val="2"/>
      <charset val="1"/>
    </font>
    <font>
      <i/>
      <sz val="9"/>
      <color theme="0" tint="-0.499984740745262"/>
      <name val="Calibri"/>
      <family val="2"/>
    </font>
    <font>
      <vertAlign val="subscript"/>
      <sz val="1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6DA4"/>
        <bgColor rgb="FF395F8A"/>
      </patternFill>
    </fill>
    <fill>
      <patternFill patternType="solid">
        <fgColor rgb="FF4A86C8"/>
        <bgColor rgb="FF2E6DA4"/>
      </patternFill>
    </fill>
    <fill>
      <patternFill patternType="solid">
        <fgColor rgb="FF395F8A"/>
        <bgColor rgb="FF2E6DA4"/>
      </patternFill>
    </fill>
    <fill>
      <patternFill patternType="solid">
        <fgColor rgb="FFBDD7EE"/>
        <bgColor rgb="FF99CC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395F8A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DCE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95F8A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9" fontId="9" fillId="0" borderId="0"/>
    <xf numFmtId="0" fontId="34" fillId="0" borderId="0" applyNumberFormat="0" applyFill="0" applyBorder="0" applyAlignment="0" applyProtection="0"/>
  </cellStyleXfs>
  <cellXfs count="188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10" fillId="7" borderId="0" xfId="0" applyFont="1" applyFill="1"/>
    <xf numFmtId="0" fontId="0" fillId="7" borderId="0" xfId="0" applyFill="1"/>
    <xf numFmtId="0" fontId="11" fillId="0" borderId="0" xfId="0" applyFont="1"/>
    <xf numFmtId="0" fontId="10" fillId="0" borderId="0" xfId="0" applyFont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12" fillId="0" borderId="2" xfId="0" applyFont="1" applyBorder="1" applyAlignment="1">
      <alignment horizontal="center"/>
    </xf>
    <xf numFmtId="4" fontId="0" fillId="0" borderId="0" xfId="0" applyNumberFormat="1"/>
    <xf numFmtId="10" fontId="12" fillId="0" borderId="0" xfId="0" applyNumberFormat="1" applyFont="1"/>
    <xf numFmtId="10" fontId="0" fillId="8" borderId="0" xfId="1" applyNumberFormat="1" applyFont="1" applyFill="1"/>
    <xf numFmtId="10" fontId="9" fillId="0" borderId="0" xfId="1" applyNumberFormat="1"/>
    <xf numFmtId="2" fontId="12" fillId="0" borderId="0" xfId="0" applyNumberFormat="1" applyFont="1"/>
    <xf numFmtId="4" fontId="0" fillId="0" borderId="2" xfId="0" applyNumberFormat="1" applyBorder="1"/>
    <xf numFmtId="10" fontId="12" fillId="0" borderId="2" xfId="0" applyNumberFormat="1" applyFont="1" applyBorder="1" applyAlignment="1">
      <alignment horizontal="center"/>
    </xf>
    <xf numFmtId="10" fontId="0" fillId="8" borderId="2" xfId="1" applyNumberFormat="1" applyFont="1" applyFill="1" applyBorder="1"/>
    <xf numFmtId="2" fontId="14" fillId="9" borderId="2" xfId="0" applyNumberFormat="1" applyFont="1" applyFill="1" applyBorder="1" applyAlignment="1">
      <alignment vertical="center" wrapText="1"/>
    </xf>
    <xf numFmtId="0" fontId="10" fillId="0" borderId="4" xfId="0" applyFont="1" applyBorder="1"/>
    <xf numFmtId="0" fontId="0" fillId="0" borderId="4" xfId="0" applyBorder="1"/>
    <xf numFmtId="10" fontId="0" fillId="0" borderId="0" xfId="1" applyNumberFormat="1" applyFont="1"/>
    <xf numFmtId="10" fontId="0" fillId="0" borderId="0" xfId="0" applyNumberFormat="1"/>
    <xf numFmtId="0" fontId="10" fillId="10" borderId="0" xfId="0" applyFont="1" applyFill="1"/>
    <xf numFmtId="10" fontId="10" fillId="10" borderId="0" xfId="0" applyNumberFormat="1" applyFont="1" applyFill="1"/>
    <xf numFmtId="0" fontId="16" fillId="11" borderId="0" xfId="0" applyFont="1" applyFill="1"/>
    <xf numFmtId="0" fontId="0" fillId="0" borderId="0" xfId="0" applyAlignment="1">
      <alignment vertical="center" wrapText="1"/>
    </xf>
    <xf numFmtId="165" fontId="0" fillId="0" borderId="0" xfId="0" applyNumberFormat="1"/>
    <xf numFmtId="0" fontId="0" fillId="12" borderId="0" xfId="0" applyFill="1"/>
    <xf numFmtId="10" fontId="9" fillId="12" borderId="0" xfId="1" applyNumberFormat="1" applyFill="1"/>
    <xf numFmtId="0" fontId="0" fillId="13" borderId="0" xfId="0" applyFill="1"/>
    <xf numFmtId="10" fontId="0" fillId="13" borderId="0" xfId="0" applyNumberFormat="1" applyFill="1"/>
    <xf numFmtId="10" fontId="9" fillId="13" borderId="0" xfId="1" applyNumberFormat="1" applyFill="1"/>
    <xf numFmtId="0" fontId="0" fillId="14" borderId="0" xfId="0" applyFill="1"/>
    <xf numFmtId="0" fontId="12" fillId="0" borderId="0" xfId="0" applyFont="1" applyAlignment="1">
      <alignment vertical="center" wrapText="1"/>
    </xf>
    <xf numFmtId="0" fontId="0" fillId="15" borderId="0" xfId="0" applyFill="1"/>
    <xf numFmtId="2" fontId="0" fillId="15" borderId="0" xfId="0" applyNumberFormat="1" applyFill="1"/>
    <xf numFmtId="10" fontId="9" fillId="15" borderId="0" xfId="1" applyNumberFormat="1" applyFill="1"/>
    <xf numFmtId="0" fontId="10" fillId="0" borderId="3" xfId="0" applyFont="1" applyBorder="1"/>
    <xf numFmtId="0" fontId="0" fillId="0" borderId="5" xfId="0" applyBorder="1"/>
    <xf numFmtId="10" fontId="9" fillId="0" borderId="5" xfId="1" applyNumberFormat="1" applyBorder="1"/>
    <xf numFmtId="0" fontId="17" fillId="0" borderId="0" xfId="0" applyFont="1"/>
    <xf numFmtId="0" fontId="12" fillId="0" borderId="0" xfId="0" applyFont="1" applyAlignment="1">
      <alignment horizontal="center"/>
    </xf>
    <xf numFmtId="0" fontId="1" fillId="0" borderId="0" xfId="0" applyFont="1"/>
    <xf numFmtId="10" fontId="12" fillId="0" borderId="0" xfId="0" applyNumberFormat="1" applyFont="1" applyAlignment="1">
      <alignment horizontal="center"/>
    </xf>
    <xf numFmtId="0" fontId="0" fillId="0" borderId="0" xfId="0"/>
    <xf numFmtId="0" fontId="18" fillId="0" borderId="0" xfId="0" applyFont="1"/>
    <xf numFmtId="0" fontId="19" fillId="16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 vertical="center"/>
    </xf>
    <xf numFmtId="0" fontId="0" fillId="0" borderId="6" xfId="0" applyBorder="1"/>
    <xf numFmtId="10" fontId="0" fillId="0" borderId="6" xfId="1" applyNumberFormat="1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6" fillId="21" borderId="7" xfId="0" applyFont="1" applyFill="1" applyBorder="1" applyAlignment="1">
      <alignment horizontal="center" vertical="center" wrapText="1"/>
    </xf>
    <xf numFmtId="0" fontId="27" fillId="18" borderId="8" xfId="0" applyFont="1" applyFill="1" applyBorder="1" applyAlignment="1">
      <alignment horizontal="center" vertical="center" wrapText="1"/>
    </xf>
    <xf numFmtId="0" fontId="27" fillId="18" borderId="8" xfId="0" applyFont="1" applyFill="1" applyBorder="1" applyAlignment="1">
      <alignment horizontal="left" vertical="center" wrapText="1"/>
    </xf>
    <xf numFmtId="0" fontId="27" fillId="18" borderId="8" xfId="0" applyFont="1" applyFill="1" applyBorder="1" applyAlignment="1">
      <alignment horizontal="right" vertical="center" wrapText="1"/>
    </xf>
    <xf numFmtId="0" fontId="28" fillId="22" borderId="8" xfId="0" applyFont="1" applyFill="1" applyBorder="1" applyAlignment="1">
      <alignment horizontal="center" vertical="center" wrapText="1"/>
    </xf>
    <xf numFmtId="0" fontId="28" fillId="22" borderId="8" xfId="0" applyFont="1" applyFill="1" applyBorder="1" applyAlignment="1">
      <alignment horizontal="left" vertical="center" wrapText="1"/>
    </xf>
    <xf numFmtId="0" fontId="28" fillId="23" borderId="8" xfId="0" applyFont="1" applyFill="1" applyBorder="1" applyAlignment="1">
      <alignment horizontal="center" vertical="center" wrapText="1"/>
    </xf>
    <xf numFmtId="0" fontId="28" fillId="23" borderId="8" xfId="0" applyFont="1" applyFill="1" applyBorder="1" applyAlignment="1">
      <alignment horizontal="left" vertical="center" wrapText="1"/>
    </xf>
    <xf numFmtId="0" fontId="28" fillId="23" borderId="8" xfId="0" applyFont="1" applyFill="1" applyBorder="1" applyAlignment="1">
      <alignment horizontal="right" vertical="center" wrapText="1"/>
    </xf>
    <xf numFmtId="0" fontId="29" fillId="24" borderId="8" xfId="0" applyFont="1" applyFill="1" applyBorder="1" applyAlignment="1">
      <alignment horizontal="center" vertical="center" wrapText="1"/>
    </xf>
    <xf numFmtId="0" fontId="29" fillId="24" borderId="8" xfId="0" applyFont="1" applyFill="1" applyBorder="1" applyAlignment="1">
      <alignment horizontal="left" vertical="center" wrapText="1"/>
    </xf>
    <xf numFmtId="0" fontId="27" fillId="21" borderId="7" xfId="0" applyFont="1" applyFill="1" applyBorder="1" applyAlignment="1">
      <alignment horizontal="center" vertical="center" wrapText="1"/>
    </xf>
    <xf numFmtId="0" fontId="28" fillId="26" borderId="8" xfId="0" applyFont="1" applyFill="1" applyBorder="1" applyAlignment="1">
      <alignment horizontal="center" vertical="center" wrapText="1"/>
    </xf>
    <xf numFmtId="0" fontId="28" fillId="26" borderId="8" xfId="0" applyFont="1" applyFill="1" applyBorder="1" applyAlignment="1">
      <alignment horizontal="left" vertical="center" wrapText="1"/>
    </xf>
    <xf numFmtId="0" fontId="28" fillId="26" borderId="8" xfId="0" applyFont="1" applyFill="1" applyBorder="1" applyAlignment="1">
      <alignment horizontal="right" vertical="center" wrapText="1"/>
    </xf>
    <xf numFmtId="0" fontId="29" fillId="24" borderId="7" xfId="0" applyFont="1" applyFill="1" applyBorder="1" applyAlignment="1">
      <alignment horizontal="center" vertical="center" wrapText="1"/>
    </xf>
    <xf numFmtId="0" fontId="29" fillId="24" borderId="7" xfId="0" applyFont="1" applyFill="1" applyBorder="1" applyAlignment="1">
      <alignment horizontal="left" vertical="center" wrapText="1"/>
    </xf>
    <xf numFmtId="0" fontId="29" fillId="24" borderId="7" xfId="0" applyFont="1" applyFill="1" applyBorder="1" applyAlignment="1">
      <alignment horizontal="right" vertical="center" wrapText="1"/>
    </xf>
    <xf numFmtId="0" fontId="28" fillId="27" borderId="8" xfId="0" applyFont="1" applyFill="1" applyBorder="1" applyAlignment="1">
      <alignment horizontal="center" vertical="center" wrapText="1"/>
    </xf>
    <xf numFmtId="0" fontId="33" fillId="27" borderId="8" xfId="0" applyFont="1" applyFill="1" applyBorder="1" applyAlignment="1">
      <alignment horizontal="left" vertical="center" wrapText="1"/>
    </xf>
    <xf numFmtId="0" fontId="33" fillId="27" borderId="8" xfId="0" applyFont="1" applyFill="1" applyBorder="1" applyAlignment="1">
      <alignment horizontal="right" vertical="center" wrapText="1"/>
    </xf>
    <xf numFmtId="0" fontId="28" fillId="27" borderId="8" xfId="0" applyFont="1" applyFill="1" applyBorder="1" applyAlignment="1">
      <alignment horizontal="left" vertical="center" wrapText="1"/>
    </xf>
    <xf numFmtId="0" fontId="0" fillId="0" borderId="0" xfId="0"/>
    <xf numFmtId="2" fontId="28" fillId="26" borderId="8" xfId="0" applyNumberFormat="1" applyFont="1" applyFill="1" applyBorder="1" applyAlignment="1">
      <alignment horizontal="right" vertical="center" wrapText="1"/>
    </xf>
    <xf numFmtId="2" fontId="28" fillId="23" borderId="8" xfId="0" applyNumberFormat="1" applyFont="1" applyFill="1" applyBorder="1" applyAlignment="1">
      <alignment horizontal="right" vertical="center" wrapText="1"/>
    </xf>
    <xf numFmtId="2" fontId="29" fillId="24" borderId="7" xfId="0" applyNumberFormat="1" applyFont="1" applyFill="1" applyBorder="1" applyAlignment="1">
      <alignment horizontal="right" vertical="center" wrapText="1"/>
    </xf>
    <xf numFmtId="0" fontId="28" fillId="26" borderId="8" xfId="0" applyNumberFormat="1" applyFont="1" applyFill="1" applyBorder="1" applyAlignment="1">
      <alignment horizontal="right" vertical="center" wrapText="1"/>
    </xf>
    <xf numFmtId="0" fontId="28" fillId="23" borderId="8" xfId="0" applyNumberFormat="1" applyFont="1" applyFill="1" applyBorder="1" applyAlignment="1">
      <alignment horizontal="right" vertical="center" wrapText="1"/>
    </xf>
    <xf numFmtId="0" fontId="29" fillId="24" borderId="7" xfId="0" applyNumberFormat="1" applyFont="1" applyFill="1" applyBorder="1" applyAlignment="1">
      <alignment horizontal="right" vertical="center" wrapText="1"/>
    </xf>
    <xf numFmtId="4" fontId="35" fillId="0" borderId="0" xfId="0" applyNumberFormat="1" applyFont="1"/>
    <xf numFmtId="2" fontId="28" fillId="22" borderId="8" xfId="0" applyNumberFormat="1" applyFont="1" applyFill="1" applyBorder="1" applyAlignment="1">
      <alignment horizontal="right" vertical="center" wrapText="1"/>
    </xf>
    <xf numFmtId="2" fontId="29" fillId="24" borderId="8" xfId="0" applyNumberFormat="1" applyFont="1" applyFill="1" applyBorder="1" applyAlignment="1">
      <alignment horizontal="right" vertical="center" wrapText="1"/>
    </xf>
    <xf numFmtId="2" fontId="27" fillId="18" borderId="8" xfId="0" applyNumberFormat="1" applyFont="1" applyFill="1" applyBorder="1" applyAlignment="1">
      <alignment horizontal="right" vertical="center" wrapText="1"/>
    </xf>
    <xf numFmtId="4" fontId="0" fillId="0" borderId="6" xfId="0" applyNumberFormat="1" applyBorder="1"/>
    <xf numFmtId="15" fontId="0" fillId="0" borderId="0" xfId="0" applyNumberFormat="1"/>
    <xf numFmtId="0" fontId="38" fillId="0" borderId="0" xfId="0" applyFont="1" applyAlignment="1">
      <alignment vertical="center" wrapText="1"/>
    </xf>
    <xf numFmtId="10" fontId="0" fillId="13" borderId="0" xfId="0" applyNumberFormat="1" applyFill="1" applyAlignment="1">
      <alignment horizontal="right"/>
    </xf>
    <xf numFmtId="0" fontId="39" fillId="0" borderId="0" xfId="0" applyFont="1"/>
    <xf numFmtId="3" fontId="0" fillId="0" borderId="0" xfId="0" applyNumberFormat="1"/>
    <xf numFmtId="2" fontId="0" fillId="0" borderId="0" xfId="0" applyNumberFormat="1"/>
    <xf numFmtId="2" fontId="0" fillId="12" borderId="0" xfId="0" applyNumberFormat="1" applyFill="1"/>
    <xf numFmtId="10" fontId="41" fillId="12" borderId="0" xfId="0" applyNumberFormat="1" applyFont="1" applyFill="1" applyAlignment="1">
      <alignment horizontal="left"/>
    </xf>
    <xf numFmtId="10" fontId="0" fillId="12" borderId="0" xfId="0" applyNumberFormat="1" applyFill="1"/>
    <xf numFmtId="0" fontId="34" fillId="10" borderId="0" xfId="2" applyFill="1" applyAlignment="1" applyProtection="1"/>
    <xf numFmtId="2" fontId="0" fillId="12" borderId="0" xfId="0" applyNumberFormat="1" applyFill="1" applyAlignment="1">
      <alignment horizontal="left"/>
    </xf>
    <xf numFmtId="10" fontId="42" fillId="12" borderId="0" xfId="0" applyNumberFormat="1" applyFont="1" applyFill="1" applyAlignment="1">
      <alignment horizontal="left"/>
    </xf>
    <xf numFmtId="0" fontId="0" fillId="12" borderId="0" xfId="0" applyFill="1" applyAlignment="1">
      <alignment horizontal="right"/>
    </xf>
    <xf numFmtId="166" fontId="9" fillId="0" borderId="0" xfId="1" applyNumberFormat="1"/>
    <xf numFmtId="2" fontId="43" fillId="16" borderId="0" xfId="0" applyNumberFormat="1" applyFont="1" applyFill="1"/>
    <xf numFmtId="0" fontId="43" fillId="16" borderId="0" xfId="0" applyFont="1" applyFill="1"/>
    <xf numFmtId="0" fontId="43" fillId="14" borderId="0" xfId="0" applyFont="1" applyFill="1"/>
    <xf numFmtId="10" fontId="43" fillId="14" borderId="0" xfId="0" applyNumberFormat="1" applyFont="1" applyFill="1" applyAlignment="1">
      <alignment horizontal="right"/>
    </xf>
    <xf numFmtId="0" fontId="44" fillId="29" borderId="0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47" fillId="0" borderId="0" xfId="0" applyFont="1"/>
    <xf numFmtId="0" fontId="44" fillId="29" borderId="6" xfId="0" applyFont="1" applyFill="1" applyBorder="1" applyAlignment="1">
      <alignment horizontal="center" vertical="center"/>
    </xf>
    <xf numFmtId="2" fontId="10" fillId="0" borderId="0" xfId="0" applyNumberFormat="1" applyFont="1"/>
    <xf numFmtId="3" fontId="0" fillId="0" borderId="7" xfId="0" applyNumberFormat="1" applyBorder="1"/>
    <xf numFmtId="0" fontId="0" fillId="0" borderId="7" xfId="0" applyBorder="1"/>
    <xf numFmtId="2" fontId="0" fillId="0" borderId="7" xfId="0" applyNumberFormat="1" applyBorder="1"/>
    <xf numFmtId="0" fontId="0" fillId="0" borderId="0" xfId="0" applyFill="1" applyBorder="1" applyAlignment="1">
      <alignment vertical="center" wrapText="1"/>
    </xf>
    <xf numFmtId="0" fontId="44" fillId="29" borderId="3" xfId="0" applyFont="1" applyFill="1" applyBorder="1" applyAlignment="1">
      <alignment horizontal="center" vertical="center"/>
    </xf>
    <xf numFmtId="4" fontId="0" fillId="0" borderId="3" xfId="0" applyNumberFormat="1" applyBorder="1"/>
    <xf numFmtId="0" fontId="49" fillId="0" borderId="0" xfId="0" applyFont="1"/>
    <xf numFmtId="0" fontId="10" fillId="14" borderId="0" xfId="0" applyFont="1" applyFill="1" applyBorder="1"/>
    <xf numFmtId="10" fontId="10" fillId="14" borderId="0" xfId="1" applyNumberFormat="1" applyFont="1" applyFill="1"/>
    <xf numFmtId="10" fontId="10" fillId="14" borderId="0" xfId="0" applyNumberFormat="1" applyFont="1" applyFill="1"/>
    <xf numFmtId="0" fontId="10" fillId="14" borderId="6" xfId="0" applyFont="1" applyFill="1" applyBorder="1"/>
    <xf numFmtId="10" fontId="10" fillId="14" borderId="6" xfId="0" applyNumberFormat="1" applyFont="1" applyFill="1" applyBorder="1"/>
    <xf numFmtId="0" fontId="0" fillId="0" borderId="0" xfId="0"/>
    <xf numFmtId="0" fontId="33" fillId="27" borderId="8" xfId="0" applyNumberFormat="1" applyFont="1" applyFill="1" applyBorder="1" applyAlignment="1">
      <alignment horizontal="right" vertical="center" wrapText="1"/>
    </xf>
    <xf numFmtId="2" fontId="33" fillId="27" borderId="8" xfId="0" applyNumberFormat="1" applyFont="1" applyFill="1" applyBorder="1" applyAlignment="1">
      <alignment horizontal="right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9" fontId="0" fillId="0" borderId="7" xfId="0" applyNumberFormat="1" applyBorder="1" applyAlignment="1">
      <alignment vertical="center" wrapText="1"/>
    </xf>
    <xf numFmtId="0" fontId="46" fillId="0" borderId="7" xfId="0" applyFont="1" applyBorder="1"/>
    <xf numFmtId="10" fontId="0" fillId="0" borderId="7" xfId="0" applyNumberFormat="1" applyBorder="1"/>
    <xf numFmtId="9" fontId="0" fillId="0" borderId="0" xfId="0" applyNumberFormat="1"/>
    <xf numFmtId="0" fontId="10" fillId="0" borderId="0" xfId="0" applyFont="1" applyBorder="1"/>
    <xf numFmtId="0" fontId="10" fillId="7" borderId="6" xfId="0" applyFont="1" applyFill="1" applyBorder="1"/>
    <xf numFmtId="2" fontId="10" fillId="7" borderId="6" xfId="0" applyNumberFormat="1" applyFont="1" applyFill="1" applyBorder="1"/>
    <xf numFmtId="0" fontId="29" fillId="24" borderId="8" xfId="0" applyNumberFormat="1" applyFont="1" applyFill="1" applyBorder="1" applyAlignment="1">
      <alignment horizontal="right" vertical="center" wrapText="1"/>
    </xf>
    <xf numFmtId="0" fontId="4" fillId="5" borderId="0" xfId="0" applyFont="1" applyFill="1" applyAlignment="1">
      <alignment horizontal="left" vertical="center"/>
    </xf>
    <xf numFmtId="0" fontId="0" fillId="0" borderId="0" xfId="0"/>
    <xf numFmtId="0" fontId="8" fillId="0" borderId="0" xfId="0" applyFont="1"/>
    <xf numFmtId="0" fontId="4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4" fillId="19" borderId="0" xfId="0" applyFont="1" applyFill="1" applyAlignment="1">
      <alignment horizontal="center" vertical="center"/>
    </xf>
    <xf numFmtId="0" fontId="30" fillId="0" borderId="0" xfId="0" applyFont="1" applyAlignment="1">
      <alignment horizontal="left" wrapText="1"/>
    </xf>
    <xf numFmtId="0" fontId="23" fillId="18" borderId="0" xfId="0" applyFont="1" applyFill="1" applyAlignment="1">
      <alignment horizontal="center" vertical="center"/>
    </xf>
    <xf numFmtId="0" fontId="25" fillId="20" borderId="0" xfId="0" applyFont="1" applyFill="1" applyAlignment="1">
      <alignment horizontal="center" vertical="center"/>
    </xf>
    <xf numFmtId="0" fontId="32" fillId="25" borderId="9" xfId="0" applyFont="1" applyFill="1" applyBorder="1" applyAlignment="1">
      <alignment horizontal="left" vertical="center"/>
    </xf>
    <xf numFmtId="0" fontId="27" fillId="19" borderId="7" xfId="0" applyFont="1" applyFill="1" applyBorder="1" applyAlignment="1">
      <alignment horizontal="center" vertical="center" wrapText="1"/>
    </xf>
    <xf numFmtId="0" fontId="31" fillId="19" borderId="0" xfId="0" applyFont="1" applyFill="1" applyAlignment="1">
      <alignment horizontal="center" vertical="center"/>
    </xf>
    <xf numFmtId="0" fontId="31" fillId="21" borderId="0" xfId="0" applyFont="1" applyFill="1" applyAlignment="1">
      <alignment horizontal="center" vertical="center"/>
    </xf>
    <xf numFmtId="0" fontId="37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5" fillId="11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0" fillId="0" borderId="2" xfId="0" applyBorder="1"/>
    <xf numFmtId="0" fontId="16" fillId="3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4" fontId="1" fillId="0" borderId="0" xfId="0" applyNumberFormat="1" applyFont="1" applyAlignment="1">
      <alignment horizontal="center"/>
    </xf>
    <xf numFmtId="0" fontId="50" fillId="7" borderId="0" xfId="0" applyFont="1" applyFill="1"/>
    <xf numFmtId="0" fontId="38" fillId="0" borderId="0" xfId="0" applyFont="1"/>
    <xf numFmtId="0" fontId="0" fillId="28" borderId="0" xfId="0" applyFill="1"/>
    <xf numFmtId="0" fontId="50" fillId="28" borderId="0" xfId="0" applyFont="1" applyFill="1"/>
    <xf numFmtId="2" fontId="0" fillId="28" borderId="0" xfId="0" applyNumberFormat="1" applyFill="1"/>
    <xf numFmtId="0" fontId="16" fillId="30" borderId="0" xfId="0" applyFont="1" applyFill="1"/>
    <xf numFmtId="0" fontId="51" fillId="0" borderId="0" xfId="0" applyFont="1"/>
    <xf numFmtId="0" fontId="37" fillId="0" borderId="0" xfId="0" applyFont="1" applyBorder="1" applyAlignment="1">
      <alignment horizontal="center"/>
    </xf>
    <xf numFmtId="0" fontId="0" fillId="0" borderId="0" xfId="0" applyBorder="1"/>
    <xf numFmtId="0" fontId="16" fillId="11" borderId="0" xfId="0" applyFont="1" applyFill="1" applyBorder="1" applyAlignment="1">
      <alignment horizontal="center"/>
    </xf>
    <xf numFmtId="0" fontId="16" fillId="28" borderId="3" xfId="0" applyFont="1" applyFill="1" applyBorder="1" applyAlignment="1">
      <alignment horizontal="center"/>
    </xf>
    <xf numFmtId="0" fontId="16" fillId="28" borderId="0" xfId="0" applyFont="1" applyFill="1" applyBorder="1" applyAlignment="1">
      <alignment horizontal="center"/>
    </xf>
    <xf numFmtId="0" fontId="10" fillId="0" borderId="6" xfId="0" applyFont="1" applyBorder="1"/>
    <xf numFmtId="0" fontId="10" fillId="28" borderId="2" xfId="0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C8"/>
      <rgbColor rgb="FF33CCCC"/>
      <rgbColor rgb="FF99CC00"/>
      <rgbColor rgb="FFFFCC00"/>
      <rgbColor rgb="FFFF9900"/>
      <rgbColor rgb="FFFF6600"/>
      <rgbColor rgb="FF666666"/>
      <rgbColor rgb="FFAAAAAA"/>
      <rgbColor rgb="FF1A3C5E"/>
      <rgbColor rgb="FF339966"/>
      <rgbColor rgb="FF003300"/>
      <rgbColor rgb="FF333300"/>
      <rgbColor rgb="FF993300"/>
      <rgbColor rgb="FF993366"/>
      <rgbColor rgb="FF395F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oomberg.com/markets/rates-bo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opLeftCell="A27" zoomScaleNormal="100" workbookViewId="0">
      <selection sqref="A1:D58"/>
    </sheetView>
  </sheetViews>
  <sheetFormatPr defaultColWidth="8.6640625" defaultRowHeight="14.4" x14ac:dyDescent="0.3"/>
  <cols>
    <col min="1" max="1" width="52" style="52" customWidth="1"/>
    <col min="2" max="4" width="20" style="52" customWidth="1"/>
  </cols>
  <sheetData>
    <row r="1" spans="1:4" ht="31.5" customHeight="1" x14ac:dyDescent="0.3">
      <c r="A1" s="152" t="s">
        <v>0</v>
      </c>
      <c r="B1" s="149"/>
      <c r="C1" s="149"/>
      <c r="D1" s="149"/>
    </row>
    <row r="2" spans="1:4" ht="18" customHeight="1" x14ac:dyDescent="0.3">
      <c r="A2" s="153" t="s">
        <v>1</v>
      </c>
      <c r="B2" s="149"/>
      <c r="C2" s="149"/>
      <c r="D2" s="149"/>
    </row>
    <row r="3" spans="1:4" ht="21.75" customHeight="1" x14ac:dyDescent="0.3">
      <c r="A3" s="1" t="s">
        <v>2</v>
      </c>
      <c r="B3" s="2" t="s">
        <v>3</v>
      </c>
      <c r="C3" s="2" t="s">
        <v>4</v>
      </c>
      <c r="D3" s="2" t="s">
        <v>5</v>
      </c>
    </row>
    <row r="4" spans="1:4" ht="18" customHeight="1" x14ac:dyDescent="0.3">
      <c r="A4" s="151" t="s">
        <v>6</v>
      </c>
      <c r="B4" s="149"/>
      <c r="C4" s="149"/>
      <c r="D4" s="149"/>
    </row>
    <row r="5" spans="1:4" ht="18" customHeight="1" x14ac:dyDescent="0.3">
      <c r="A5" s="148" t="s">
        <v>7</v>
      </c>
      <c r="B5" s="149"/>
      <c r="C5" s="149"/>
      <c r="D5" s="149"/>
    </row>
    <row r="6" spans="1:4" x14ac:dyDescent="0.3">
      <c r="A6" s="3" t="s">
        <v>8</v>
      </c>
      <c r="B6" s="4">
        <v>65022.9</v>
      </c>
      <c r="C6" s="4">
        <v>65396.59</v>
      </c>
      <c r="D6" s="5">
        <f t="shared" ref="D6:D18" si="0">B6-C6</f>
        <v>-373.68999999999505</v>
      </c>
    </row>
    <row r="7" spans="1:4" x14ac:dyDescent="0.3">
      <c r="A7" s="3" t="s">
        <v>9</v>
      </c>
      <c r="B7" s="4">
        <v>7206.21</v>
      </c>
      <c r="C7" s="4">
        <v>6140.57</v>
      </c>
      <c r="D7" s="5">
        <f t="shared" si="0"/>
        <v>1065.6400000000003</v>
      </c>
    </row>
    <row r="8" spans="1:4" x14ac:dyDescent="0.3">
      <c r="A8" s="3" t="s">
        <v>10</v>
      </c>
      <c r="B8" s="4">
        <v>6838.6</v>
      </c>
      <c r="C8" s="4">
        <v>5521.17</v>
      </c>
      <c r="D8" s="5">
        <f t="shared" si="0"/>
        <v>1317.4300000000003</v>
      </c>
    </row>
    <row r="9" spans="1:4" x14ac:dyDescent="0.3">
      <c r="A9" s="3" t="s">
        <v>11</v>
      </c>
      <c r="B9" s="4">
        <v>0.96</v>
      </c>
      <c r="C9" s="4">
        <v>0.99</v>
      </c>
      <c r="D9" s="5">
        <f t="shared" si="0"/>
        <v>-3.0000000000000027E-2</v>
      </c>
    </row>
    <row r="10" spans="1:4" x14ac:dyDescent="0.3">
      <c r="A10" s="3" t="s">
        <v>12</v>
      </c>
      <c r="B10" s="4">
        <v>1425.69</v>
      </c>
      <c r="C10" s="4">
        <v>1488.84</v>
      </c>
      <c r="D10" s="5">
        <f t="shared" si="0"/>
        <v>-63.149999999999864</v>
      </c>
    </row>
    <row r="11" spans="1:4" x14ac:dyDescent="0.3">
      <c r="A11" s="3" t="s">
        <v>13</v>
      </c>
      <c r="B11" s="4">
        <v>4591.88</v>
      </c>
      <c r="C11" s="4">
        <v>4625.29</v>
      </c>
      <c r="D11" s="5">
        <f t="shared" si="0"/>
        <v>-33.409999999999854</v>
      </c>
    </row>
    <row r="12" spans="1:4" x14ac:dyDescent="0.3">
      <c r="A12" s="3" t="s">
        <v>14</v>
      </c>
      <c r="B12" s="4">
        <v>1758.93</v>
      </c>
      <c r="C12" s="4">
        <v>1694.07</v>
      </c>
      <c r="D12" s="5">
        <f t="shared" si="0"/>
        <v>64.860000000000127</v>
      </c>
    </row>
    <row r="13" spans="1:4" x14ac:dyDescent="0.3">
      <c r="A13" s="3" t="s">
        <v>15</v>
      </c>
      <c r="B13" s="4">
        <v>0</v>
      </c>
      <c r="C13" s="4">
        <v>0</v>
      </c>
      <c r="D13" s="5">
        <f t="shared" si="0"/>
        <v>0</v>
      </c>
    </row>
    <row r="14" spans="1:4" x14ac:dyDescent="0.3">
      <c r="A14" s="3" t="s">
        <v>16</v>
      </c>
      <c r="B14" s="4">
        <v>950.86</v>
      </c>
      <c r="C14" s="4">
        <v>877.3</v>
      </c>
      <c r="D14" s="5">
        <f t="shared" si="0"/>
        <v>73.560000000000059</v>
      </c>
    </row>
    <row r="15" spans="1:4" x14ac:dyDescent="0.3">
      <c r="A15" s="3" t="s">
        <v>17</v>
      </c>
      <c r="B15" s="4">
        <v>622.47</v>
      </c>
      <c r="C15" s="4">
        <v>444.24</v>
      </c>
      <c r="D15" s="5">
        <f t="shared" si="0"/>
        <v>178.23000000000002</v>
      </c>
    </row>
    <row r="16" spans="1:4" x14ac:dyDescent="0.3">
      <c r="A16" s="3" t="s">
        <v>18</v>
      </c>
      <c r="B16" s="4">
        <v>451.35</v>
      </c>
      <c r="C16" s="4">
        <v>374.7</v>
      </c>
      <c r="D16" s="5">
        <f t="shared" si="0"/>
        <v>76.650000000000034</v>
      </c>
    </row>
    <row r="17" spans="1:4" x14ac:dyDescent="0.3">
      <c r="A17" s="3" t="s">
        <v>19</v>
      </c>
      <c r="B17" s="4">
        <v>2354.92</v>
      </c>
      <c r="C17" s="4">
        <v>3086.55</v>
      </c>
      <c r="D17" s="5">
        <f t="shared" si="0"/>
        <v>-731.63000000000011</v>
      </c>
    </row>
    <row r="18" spans="1:4" x14ac:dyDescent="0.3">
      <c r="A18" s="6" t="s">
        <v>20</v>
      </c>
      <c r="B18" s="7">
        <f>SUM(B6:B17)</f>
        <v>91224.770000000019</v>
      </c>
      <c r="C18" s="7">
        <f>SUM(C6:C17)</f>
        <v>89650.310000000012</v>
      </c>
      <c r="D18" s="7">
        <f t="shared" si="0"/>
        <v>1574.4600000000064</v>
      </c>
    </row>
    <row r="19" spans="1:4" ht="18" customHeight="1" x14ac:dyDescent="0.3">
      <c r="A19" s="148" t="s">
        <v>21</v>
      </c>
      <c r="B19" s="149"/>
      <c r="C19" s="149"/>
      <c r="D19" s="149"/>
    </row>
    <row r="20" spans="1:4" x14ac:dyDescent="0.3">
      <c r="A20" s="3" t="s">
        <v>22</v>
      </c>
      <c r="B20" s="4">
        <v>29072.36</v>
      </c>
      <c r="C20" s="4">
        <v>32645.58</v>
      </c>
      <c r="D20" s="5">
        <f t="shared" ref="D20:D30" si="1">B20-C20</f>
        <v>-3573.2200000000012</v>
      </c>
    </row>
    <row r="21" spans="1:4" x14ac:dyDescent="0.3">
      <c r="A21" s="3" t="s">
        <v>23</v>
      </c>
      <c r="B21" s="4">
        <v>7557.15</v>
      </c>
      <c r="C21" s="4">
        <v>8308.7199999999993</v>
      </c>
      <c r="D21" s="5">
        <f t="shared" si="1"/>
        <v>-751.56999999999971</v>
      </c>
    </row>
    <row r="22" spans="1:4" x14ac:dyDescent="0.3">
      <c r="A22" s="3" t="s">
        <v>24</v>
      </c>
      <c r="B22" s="4">
        <v>285.62</v>
      </c>
      <c r="C22" s="4">
        <v>13.73</v>
      </c>
      <c r="D22" s="5">
        <f t="shared" si="1"/>
        <v>271.89</v>
      </c>
    </row>
    <row r="23" spans="1:4" x14ac:dyDescent="0.3">
      <c r="A23" s="3" t="s">
        <v>25</v>
      </c>
      <c r="B23" s="4">
        <v>619.4</v>
      </c>
      <c r="C23" s="4">
        <v>527.87</v>
      </c>
      <c r="D23" s="5">
        <f t="shared" si="1"/>
        <v>91.529999999999973</v>
      </c>
    </row>
    <row r="24" spans="1:4" x14ac:dyDescent="0.3">
      <c r="A24" s="3" t="s">
        <v>26</v>
      </c>
      <c r="B24" s="4">
        <v>22.6</v>
      </c>
      <c r="C24" s="4">
        <v>28.31</v>
      </c>
      <c r="D24" s="5">
        <f t="shared" si="1"/>
        <v>-5.7099999999999973</v>
      </c>
    </row>
    <row r="25" spans="1:4" x14ac:dyDescent="0.3">
      <c r="A25" s="3" t="s">
        <v>27</v>
      </c>
      <c r="B25" s="4">
        <v>1221.31</v>
      </c>
      <c r="C25" s="4">
        <v>1368.66</v>
      </c>
      <c r="D25" s="5">
        <f t="shared" si="1"/>
        <v>-147.35000000000014</v>
      </c>
    </row>
    <row r="26" spans="1:4" x14ac:dyDescent="0.3">
      <c r="A26" s="3" t="s">
        <v>28</v>
      </c>
      <c r="B26" s="4">
        <v>0</v>
      </c>
      <c r="C26" s="4">
        <v>433.11</v>
      </c>
      <c r="D26" s="5">
        <f t="shared" si="1"/>
        <v>-433.11</v>
      </c>
    </row>
    <row r="27" spans="1:4" x14ac:dyDescent="0.3">
      <c r="A27" s="3" t="s">
        <v>29</v>
      </c>
      <c r="B27" s="4">
        <v>2910.94</v>
      </c>
      <c r="C27" s="4">
        <v>4541.05</v>
      </c>
      <c r="D27" s="5">
        <f t="shared" si="1"/>
        <v>-1630.1100000000001</v>
      </c>
    </row>
    <row r="28" spans="1:4" x14ac:dyDescent="0.3">
      <c r="A28" s="6" t="s">
        <v>30</v>
      </c>
      <c r="B28" s="7">
        <f>SUM(B20:B27)</f>
        <v>41689.380000000005</v>
      </c>
      <c r="C28" s="7">
        <f>SUM(C20:C27)</f>
        <v>47867.030000000013</v>
      </c>
      <c r="D28" s="7">
        <f t="shared" si="1"/>
        <v>-6177.6500000000087</v>
      </c>
    </row>
    <row r="29" spans="1:4" x14ac:dyDescent="0.3">
      <c r="A29" s="3" t="s">
        <v>31</v>
      </c>
      <c r="B29" s="4">
        <v>3.9</v>
      </c>
      <c r="C29" s="4">
        <v>15.11</v>
      </c>
      <c r="D29" s="5">
        <f t="shared" si="1"/>
        <v>-11.209999999999999</v>
      </c>
    </row>
    <row r="30" spans="1:4" x14ac:dyDescent="0.3">
      <c r="A30" s="6" t="s">
        <v>32</v>
      </c>
      <c r="B30" s="7">
        <f>B18+B28+B29</f>
        <v>132918.05000000002</v>
      </c>
      <c r="C30" s="7">
        <f>C18+C28+C29</f>
        <v>137532.45000000001</v>
      </c>
      <c r="D30" s="7">
        <f t="shared" si="1"/>
        <v>-4614.3999999999942</v>
      </c>
    </row>
    <row r="32" spans="1:4" ht="18" customHeight="1" x14ac:dyDescent="0.3">
      <c r="A32" s="151" t="s">
        <v>33</v>
      </c>
      <c r="B32" s="149"/>
      <c r="C32" s="149"/>
      <c r="D32" s="149"/>
    </row>
    <row r="33" spans="1:4" ht="18" customHeight="1" x14ac:dyDescent="0.3">
      <c r="A33" s="148" t="s">
        <v>34</v>
      </c>
      <c r="B33" s="149"/>
      <c r="C33" s="149"/>
      <c r="D33" s="149"/>
    </row>
    <row r="34" spans="1:4" x14ac:dyDescent="0.3">
      <c r="A34" s="3" t="s">
        <v>35</v>
      </c>
      <c r="B34" s="4">
        <v>4130.53</v>
      </c>
      <c r="C34" s="4">
        <v>4130.53</v>
      </c>
      <c r="D34" s="5">
        <f>B34-C34</f>
        <v>0</v>
      </c>
    </row>
    <row r="35" spans="1:4" x14ac:dyDescent="0.3">
      <c r="A35" s="3" t="s">
        <v>36</v>
      </c>
      <c r="B35" s="4">
        <v>51525.88</v>
      </c>
      <c r="C35" s="4">
        <v>50000.01</v>
      </c>
      <c r="D35" s="5">
        <f>B35-C35</f>
        <v>1525.8699999999953</v>
      </c>
    </row>
    <row r="36" spans="1:4" x14ac:dyDescent="0.3">
      <c r="A36" s="6" t="s">
        <v>37</v>
      </c>
      <c r="B36" s="7">
        <f>SUM(B34:B35)</f>
        <v>55656.409999999996</v>
      </c>
      <c r="C36" s="7">
        <f>SUM(C34:C35)</f>
        <v>54130.54</v>
      </c>
      <c r="D36" s="7">
        <f>B36-C36</f>
        <v>1525.8699999999953</v>
      </c>
    </row>
    <row r="37" spans="1:4" ht="18" customHeight="1" x14ac:dyDescent="0.3">
      <c r="A37" s="148" t="s">
        <v>38</v>
      </c>
      <c r="B37" s="149"/>
      <c r="C37" s="149"/>
      <c r="D37" s="149"/>
    </row>
    <row r="38" spans="1:4" x14ac:dyDescent="0.3">
      <c r="A38" s="3" t="s">
        <v>39</v>
      </c>
      <c r="B38" s="4">
        <v>10100.950000000001</v>
      </c>
      <c r="C38" s="4">
        <v>9568.2099999999991</v>
      </c>
      <c r="D38" s="5">
        <f t="shared" ref="D38:D46" si="2">B38-C38</f>
        <v>532.7400000000016</v>
      </c>
    </row>
    <row r="39" spans="1:4" x14ac:dyDescent="0.3">
      <c r="A39" s="3" t="s">
        <v>40</v>
      </c>
      <c r="B39" s="4">
        <v>6553.42</v>
      </c>
      <c r="C39" s="4">
        <v>5235.24</v>
      </c>
      <c r="D39" s="5">
        <f t="shared" si="2"/>
        <v>1318.1800000000003</v>
      </c>
    </row>
    <row r="40" spans="1:4" x14ac:dyDescent="0.3">
      <c r="A40" s="3" t="s">
        <v>41</v>
      </c>
      <c r="B40" s="4">
        <v>0</v>
      </c>
      <c r="C40" s="4">
        <v>0</v>
      </c>
      <c r="D40" s="5">
        <f t="shared" si="2"/>
        <v>0</v>
      </c>
    </row>
    <row r="41" spans="1:4" x14ac:dyDescent="0.3">
      <c r="A41" s="3" t="s">
        <v>42</v>
      </c>
      <c r="B41" s="4">
        <v>0</v>
      </c>
      <c r="C41" s="4">
        <v>0</v>
      </c>
      <c r="D41" s="5">
        <f t="shared" si="2"/>
        <v>0</v>
      </c>
    </row>
    <row r="42" spans="1:4" x14ac:dyDescent="0.3">
      <c r="A42" s="3" t="s">
        <v>43</v>
      </c>
      <c r="B42" s="4">
        <v>1438.42</v>
      </c>
      <c r="C42" s="4">
        <v>1410.52</v>
      </c>
      <c r="D42" s="5">
        <f t="shared" si="2"/>
        <v>27.900000000000091</v>
      </c>
    </row>
    <row r="43" spans="1:4" x14ac:dyDescent="0.3">
      <c r="A43" s="3" t="s">
        <v>44</v>
      </c>
      <c r="B43" s="4">
        <v>6094.62</v>
      </c>
      <c r="C43" s="4">
        <v>5723.77</v>
      </c>
      <c r="D43" s="5">
        <f t="shared" si="2"/>
        <v>370.84999999999945</v>
      </c>
    </row>
    <row r="44" spans="1:4" x14ac:dyDescent="0.3">
      <c r="A44" s="3" t="s">
        <v>45</v>
      </c>
      <c r="B44" s="4">
        <v>6422.33</v>
      </c>
      <c r="C44" s="4">
        <v>6178.2</v>
      </c>
      <c r="D44" s="5">
        <f t="shared" si="2"/>
        <v>244.13000000000011</v>
      </c>
    </row>
    <row r="45" spans="1:4" x14ac:dyDescent="0.3">
      <c r="A45" s="3" t="s">
        <v>46</v>
      </c>
      <c r="B45" s="4">
        <v>493.13</v>
      </c>
      <c r="C45" s="4">
        <v>1860.49</v>
      </c>
      <c r="D45" s="5">
        <f t="shared" si="2"/>
        <v>-1367.3600000000001</v>
      </c>
    </row>
    <row r="46" spans="1:4" x14ac:dyDescent="0.3">
      <c r="A46" s="6" t="s">
        <v>47</v>
      </c>
      <c r="B46" s="7">
        <f>SUM(B38:B45)</f>
        <v>31102.87</v>
      </c>
      <c r="C46" s="7">
        <f>SUM(C38:C45)</f>
        <v>29976.43</v>
      </c>
      <c r="D46" s="7">
        <f t="shared" si="2"/>
        <v>1126.4399999999987</v>
      </c>
    </row>
    <row r="47" spans="1:4" ht="18" customHeight="1" x14ac:dyDescent="0.3">
      <c r="A47" s="148" t="s">
        <v>48</v>
      </c>
      <c r="B47" s="149"/>
      <c r="C47" s="149"/>
      <c r="D47" s="149"/>
    </row>
    <row r="48" spans="1:4" x14ac:dyDescent="0.3">
      <c r="A48" s="3" t="s">
        <v>49</v>
      </c>
      <c r="B48" s="4">
        <v>19710.16</v>
      </c>
      <c r="C48" s="4">
        <v>21025.11</v>
      </c>
      <c r="D48" s="5">
        <f t="shared" ref="D48:D58" si="3">B48-C48</f>
        <v>-1314.9500000000007</v>
      </c>
    </row>
    <row r="49" spans="1:4" x14ac:dyDescent="0.3">
      <c r="A49" s="3" t="s">
        <v>50</v>
      </c>
      <c r="B49" s="4">
        <v>569.4</v>
      </c>
      <c r="C49" s="4">
        <v>486.41</v>
      </c>
      <c r="D49" s="5">
        <f t="shared" si="3"/>
        <v>82.989999999999952</v>
      </c>
    </row>
    <row r="50" spans="1:4" x14ac:dyDescent="0.3">
      <c r="A50" s="3" t="s">
        <v>51</v>
      </c>
      <c r="B50" s="4">
        <v>637.65</v>
      </c>
      <c r="C50" s="4">
        <v>498.06</v>
      </c>
      <c r="D50" s="5">
        <f t="shared" si="3"/>
        <v>139.58999999999997</v>
      </c>
    </row>
    <row r="51" spans="1:4" x14ac:dyDescent="0.3">
      <c r="A51" s="3" t="s">
        <v>52</v>
      </c>
      <c r="B51" s="4">
        <v>9860.9</v>
      </c>
      <c r="C51" s="4">
        <v>14834.33</v>
      </c>
      <c r="D51" s="5">
        <f t="shared" si="3"/>
        <v>-4973.43</v>
      </c>
    </row>
    <row r="52" spans="1:4" x14ac:dyDescent="0.3">
      <c r="A52" s="3" t="s">
        <v>53</v>
      </c>
      <c r="B52" s="4">
        <v>9649.3700000000008</v>
      </c>
      <c r="C52" s="4">
        <v>10517.18</v>
      </c>
      <c r="D52" s="5">
        <f t="shared" si="3"/>
        <v>-867.80999999999949</v>
      </c>
    </row>
    <row r="53" spans="1:4" x14ac:dyDescent="0.3">
      <c r="A53" s="3" t="s">
        <v>54</v>
      </c>
      <c r="B53" s="4">
        <v>4196.07</v>
      </c>
      <c r="C53" s="4">
        <v>4565.1899999999996</v>
      </c>
      <c r="D53" s="5">
        <f t="shared" si="3"/>
        <v>-369.11999999999989</v>
      </c>
    </row>
    <row r="54" spans="1:4" x14ac:dyDescent="0.3">
      <c r="A54" s="3" t="s">
        <v>55</v>
      </c>
      <c r="B54" s="4">
        <v>1387.24</v>
      </c>
      <c r="C54" s="4">
        <v>1290.3699999999999</v>
      </c>
      <c r="D54" s="5">
        <f t="shared" si="3"/>
        <v>96.870000000000118</v>
      </c>
    </row>
    <row r="55" spans="1:4" x14ac:dyDescent="0.3">
      <c r="A55" s="3" t="s">
        <v>56</v>
      </c>
      <c r="B55" s="4">
        <v>147.97999999999999</v>
      </c>
      <c r="C55" s="4">
        <v>208.83</v>
      </c>
      <c r="D55" s="5">
        <f t="shared" si="3"/>
        <v>-60.850000000000023</v>
      </c>
    </row>
    <row r="56" spans="1:4" x14ac:dyDescent="0.3">
      <c r="A56" s="6" t="s">
        <v>57</v>
      </c>
      <c r="B56" s="7">
        <f>SUM(B48:B55)</f>
        <v>46158.770000000004</v>
      </c>
      <c r="C56" s="7">
        <f>SUM(C48:C55)</f>
        <v>53425.48000000001</v>
      </c>
      <c r="D56" s="7">
        <f t="shared" si="3"/>
        <v>-7266.7100000000064</v>
      </c>
    </row>
    <row r="57" spans="1:4" x14ac:dyDescent="0.3">
      <c r="A57" s="6" t="s">
        <v>58</v>
      </c>
      <c r="B57" s="7">
        <f>B46+B56</f>
        <v>77261.64</v>
      </c>
      <c r="C57" s="7">
        <f>C46+C56</f>
        <v>83401.91</v>
      </c>
      <c r="D57" s="7">
        <f t="shared" si="3"/>
        <v>-6140.2700000000041</v>
      </c>
    </row>
    <row r="58" spans="1:4" x14ac:dyDescent="0.3">
      <c r="A58" s="6" t="s">
        <v>59</v>
      </c>
      <c r="B58" s="7">
        <f>B36+B57</f>
        <v>132918.04999999999</v>
      </c>
      <c r="C58" s="7">
        <f>C36+C57</f>
        <v>137532.45000000001</v>
      </c>
      <c r="D58" s="7">
        <f t="shared" si="3"/>
        <v>-4614.4000000000233</v>
      </c>
    </row>
    <row r="60" spans="1:4" x14ac:dyDescent="0.3">
      <c r="A60" s="150" t="s">
        <v>60</v>
      </c>
      <c r="B60" s="149"/>
      <c r="C60" s="149"/>
      <c r="D60" s="149"/>
    </row>
  </sheetData>
  <mergeCells count="10">
    <mergeCell ref="A47:D47"/>
    <mergeCell ref="A60:D60"/>
    <mergeCell ref="A32:D32"/>
    <mergeCell ref="A1:D1"/>
    <mergeCell ref="A37:D37"/>
    <mergeCell ref="A5:D5"/>
    <mergeCell ref="A4:D4"/>
    <mergeCell ref="A19:D19"/>
    <mergeCell ref="A2:D2"/>
    <mergeCell ref="A33:D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52" style="52" customWidth="1"/>
    <col min="2" max="4" width="20" style="52" customWidth="1"/>
  </cols>
  <sheetData>
    <row r="1" spans="1:4" ht="31.5" customHeight="1" x14ac:dyDescent="0.3">
      <c r="A1" s="152" t="s">
        <v>61</v>
      </c>
      <c r="B1" s="149"/>
      <c r="C1" s="149"/>
      <c r="D1" s="149"/>
    </row>
    <row r="2" spans="1:4" ht="18" customHeight="1" x14ac:dyDescent="0.3">
      <c r="A2" s="153" t="s">
        <v>62</v>
      </c>
      <c r="B2" s="149"/>
      <c r="C2" s="149"/>
      <c r="D2" s="149"/>
    </row>
    <row r="3" spans="1:4" ht="21.75" customHeight="1" x14ac:dyDescent="0.3">
      <c r="A3" s="1" t="s">
        <v>2</v>
      </c>
      <c r="B3" s="2" t="s">
        <v>3</v>
      </c>
      <c r="C3" s="2" t="s">
        <v>4</v>
      </c>
      <c r="D3" s="2" t="s">
        <v>5</v>
      </c>
    </row>
    <row r="4" spans="1:4" ht="18" customHeight="1" x14ac:dyDescent="0.3">
      <c r="A4" s="151" t="s">
        <v>63</v>
      </c>
      <c r="B4" s="149"/>
      <c r="C4" s="149"/>
      <c r="D4" s="149"/>
    </row>
    <row r="5" spans="1:4" x14ac:dyDescent="0.3">
      <c r="A5" s="3" t="s">
        <v>64</v>
      </c>
      <c r="B5" s="4">
        <v>102478.19</v>
      </c>
      <c r="C5" s="4">
        <v>105374.59</v>
      </c>
      <c r="D5" s="5">
        <f>B5-C5</f>
        <v>-2896.3999999999942</v>
      </c>
    </row>
    <row r="6" spans="1:4" x14ac:dyDescent="0.3">
      <c r="A6" s="3" t="s">
        <v>65</v>
      </c>
      <c r="B6" s="4">
        <v>1134.4100000000001</v>
      </c>
      <c r="C6" s="4">
        <v>1148.06</v>
      </c>
      <c r="D6" s="5">
        <f>B6-C6</f>
        <v>-13.649999999999864</v>
      </c>
    </row>
    <row r="7" spans="1:4" x14ac:dyDescent="0.3">
      <c r="A7" s="6" t="s">
        <v>66</v>
      </c>
      <c r="B7" s="7">
        <f>B5+B6</f>
        <v>103612.6</v>
      </c>
      <c r="C7" s="7">
        <f>C5+C6</f>
        <v>106522.65</v>
      </c>
      <c r="D7" s="7">
        <f>B7-C7</f>
        <v>-2910.0499999999884</v>
      </c>
    </row>
    <row r="9" spans="1:4" ht="18" customHeight="1" x14ac:dyDescent="0.3">
      <c r="A9" s="151" t="s">
        <v>67</v>
      </c>
      <c r="B9" s="149"/>
      <c r="C9" s="149"/>
      <c r="D9" s="149"/>
    </row>
    <row r="10" spans="1:4" x14ac:dyDescent="0.3">
      <c r="A10" s="3" t="s">
        <v>68</v>
      </c>
      <c r="B10" s="4">
        <v>48952.89</v>
      </c>
      <c r="C10" s="4">
        <v>57618.84</v>
      </c>
      <c r="D10" s="5">
        <f t="shared" ref="D10:D17" si="0">B10-C10</f>
        <v>-8665.9499999999971</v>
      </c>
    </row>
    <row r="11" spans="1:4" x14ac:dyDescent="0.3">
      <c r="A11" s="3" t="s">
        <v>69</v>
      </c>
      <c r="B11" s="4">
        <v>1856.98</v>
      </c>
      <c r="C11" s="4">
        <v>0</v>
      </c>
      <c r="D11" s="5">
        <f t="shared" si="0"/>
        <v>1856.98</v>
      </c>
    </row>
    <row r="12" spans="1:4" x14ac:dyDescent="0.3">
      <c r="A12" s="3" t="s">
        <v>70</v>
      </c>
      <c r="B12" s="4">
        <v>92.13</v>
      </c>
      <c r="C12" s="4">
        <v>-3352.92</v>
      </c>
      <c r="D12" s="5">
        <f t="shared" si="0"/>
        <v>3445.05</v>
      </c>
    </row>
    <row r="13" spans="1:4" x14ac:dyDescent="0.3">
      <c r="A13" s="3" t="s">
        <v>71</v>
      </c>
      <c r="B13" s="4">
        <v>11658.54</v>
      </c>
      <c r="C13" s="4">
        <v>11747.92</v>
      </c>
      <c r="D13" s="5">
        <f t="shared" si="0"/>
        <v>-89.3799999999992</v>
      </c>
    </row>
    <row r="14" spans="1:4" x14ac:dyDescent="0.3">
      <c r="A14" s="3" t="s">
        <v>72</v>
      </c>
      <c r="B14" s="4">
        <v>2792.77</v>
      </c>
      <c r="C14" s="4">
        <v>2473.81</v>
      </c>
      <c r="D14" s="5">
        <f t="shared" si="0"/>
        <v>318.96000000000004</v>
      </c>
    </row>
    <row r="15" spans="1:4" x14ac:dyDescent="0.3">
      <c r="A15" s="3" t="s">
        <v>73</v>
      </c>
      <c r="B15" s="4">
        <v>5649.57</v>
      </c>
      <c r="C15" s="4">
        <v>5277.45</v>
      </c>
      <c r="D15" s="5">
        <f t="shared" si="0"/>
        <v>372.11999999999989</v>
      </c>
    </row>
    <row r="16" spans="1:4" x14ac:dyDescent="0.3">
      <c r="A16" s="3" t="s">
        <v>74</v>
      </c>
      <c r="B16" s="4">
        <v>29288.26</v>
      </c>
      <c r="C16" s="4">
        <v>28229.040000000001</v>
      </c>
      <c r="D16" s="5">
        <f t="shared" si="0"/>
        <v>1059.2199999999975</v>
      </c>
    </row>
    <row r="17" spans="1:4" x14ac:dyDescent="0.3">
      <c r="A17" s="6" t="s">
        <v>75</v>
      </c>
      <c r="B17" s="7">
        <f>SUM(B10:B16)</f>
        <v>100291.14</v>
      </c>
      <c r="C17" s="7">
        <f>SUM(C10:C16)</f>
        <v>101994.13999999998</v>
      </c>
      <c r="D17" s="7">
        <f t="shared" si="0"/>
        <v>-1702.9999999999854</v>
      </c>
    </row>
    <row r="19" spans="1:4" x14ac:dyDescent="0.3">
      <c r="A19" s="6" t="s">
        <v>76</v>
      </c>
      <c r="B19" s="7">
        <f>B7-B17</f>
        <v>3321.4600000000064</v>
      </c>
      <c r="C19" s="7">
        <f>C7-C17</f>
        <v>4528.5100000000093</v>
      </c>
      <c r="D19" s="7">
        <f>B19-C19</f>
        <v>-1207.0500000000029</v>
      </c>
    </row>
    <row r="20" spans="1:4" x14ac:dyDescent="0.3">
      <c r="A20" s="3" t="s">
        <v>77</v>
      </c>
      <c r="B20" s="4">
        <v>-312.64</v>
      </c>
      <c r="C20" s="4">
        <v>-840.84</v>
      </c>
      <c r="D20" s="5">
        <f>B20-C20</f>
        <v>528.20000000000005</v>
      </c>
    </row>
    <row r="21" spans="1:4" x14ac:dyDescent="0.3">
      <c r="A21" s="6" t="s">
        <v>78</v>
      </c>
      <c r="B21" s="7">
        <f>B19+B20</f>
        <v>3008.8200000000065</v>
      </c>
      <c r="C21" s="7">
        <f>C19+C20</f>
        <v>3687.6700000000092</v>
      </c>
      <c r="D21" s="7">
        <f>B21-C21</f>
        <v>-678.85000000000264</v>
      </c>
    </row>
    <row r="23" spans="1:4" ht="18" customHeight="1" x14ac:dyDescent="0.3">
      <c r="A23" s="148" t="s">
        <v>79</v>
      </c>
      <c r="B23" s="149"/>
      <c r="C23" s="149"/>
      <c r="D23" s="149"/>
    </row>
    <row r="24" spans="1:4" x14ac:dyDescent="0.3">
      <c r="A24" s="3" t="s">
        <v>80</v>
      </c>
      <c r="B24" s="4">
        <v>815.15</v>
      </c>
      <c r="C24" s="4">
        <v>605.54</v>
      </c>
      <c r="D24" s="5">
        <f>B24-C24</f>
        <v>209.61</v>
      </c>
    </row>
    <row r="25" spans="1:4" x14ac:dyDescent="0.3">
      <c r="A25" s="3" t="s">
        <v>81</v>
      </c>
      <c r="B25" s="4">
        <v>45.71</v>
      </c>
      <c r="C25" s="4">
        <v>349.02</v>
      </c>
      <c r="D25" s="5">
        <f>B25-C25</f>
        <v>-303.31</v>
      </c>
    </row>
    <row r="26" spans="1:4" x14ac:dyDescent="0.3">
      <c r="A26" s="6" t="s">
        <v>82</v>
      </c>
      <c r="B26" s="7">
        <f>B24+B25</f>
        <v>860.86</v>
      </c>
      <c r="C26" s="7">
        <f>C24+C25</f>
        <v>954.56</v>
      </c>
      <c r="D26" s="7">
        <f>B26-C26</f>
        <v>-93.699999999999932</v>
      </c>
    </row>
    <row r="28" spans="1:4" x14ac:dyDescent="0.3">
      <c r="A28" s="6" t="s">
        <v>83</v>
      </c>
      <c r="B28" s="7">
        <f>B21-B26</f>
        <v>2147.9600000000064</v>
      </c>
      <c r="C28" s="7">
        <f>C21-C26</f>
        <v>2733.1100000000092</v>
      </c>
      <c r="D28" s="7">
        <f>B28-C28</f>
        <v>-585.15000000000282</v>
      </c>
    </row>
    <row r="30" spans="1:4" ht="18" customHeight="1" x14ac:dyDescent="0.3">
      <c r="A30" s="148" t="s">
        <v>84</v>
      </c>
      <c r="B30" s="149"/>
      <c r="C30" s="149"/>
      <c r="D30" s="149"/>
    </row>
    <row r="31" spans="1:4" x14ac:dyDescent="0.3">
      <c r="A31" s="3" t="s">
        <v>85</v>
      </c>
      <c r="B31" s="4">
        <v>-387.74</v>
      </c>
      <c r="C31" s="4">
        <v>-196.62</v>
      </c>
      <c r="D31" s="5">
        <f>B31-C31</f>
        <v>-191.12</v>
      </c>
    </row>
    <row r="32" spans="1:4" x14ac:dyDescent="0.3">
      <c r="A32" s="3" t="s">
        <v>86</v>
      </c>
      <c r="B32" s="4">
        <v>61.87</v>
      </c>
      <c r="C32" s="4">
        <v>73.900000000000006</v>
      </c>
      <c r="D32" s="5">
        <f>B32-C32</f>
        <v>-12.030000000000008</v>
      </c>
    </row>
    <row r="33" spans="1:4" x14ac:dyDescent="0.3">
      <c r="A33" s="3" t="s">
        <v>87</v>
      </c>
      <c r="B33" s="4">
        <v>84.57</v>
      </c>
      <c r="C33" s="4">
        <v>0.55000000000000004</v>
      </c>
      <c r="D33" s="5">
        <f>B33-C33</f>
        <v>84.02</v>
      </c>
    </row>
    <row r="34" spans="1:4" x14ac:dyDescent="0.3">
      <c r="A34" s="6" t="s">
        <v>88</v>
      </c>
      <c r="B34" s="7">
        <f>SUM(B31:B33)</f>
        <v>-241.3</v>
      </c>
      <c r="C34" s="7">
        <f>SUM(C31:C33)</f>
        <v>-122.17</v>
      </c>
      <c r="D34" s="7">
        <f>B34-C34</f>
        <v>-119.13000000000001</v>
      </c>
    </row>
    <row r="36" spans="1:4" x14ac:dyDescent="0.3">
      <c r="A36" s="6" t="s">
        <v>89</v>
      </c>
      <c r="B36" s="7">
        <f>B28+B34</f>
        <v>1906.6600000000064</v>
      </c>
      <c r="C36" s="7">
        <f>C28+C34</f>
        <v>2610.9400000000091</v>
      </c>
      <c r="D36" s="7">
        <f>B36-C36</f>
        <v>-704.2800000000027</v>
      </c>
    </row>
    <row r="38" spans="1:4" ht="18" customHeight="1" x14ac:dyDescent="0.3">
      <c r="A38" s="151" t="s">
        <v>90</v>
      </c>
      <c r="B38" s="149"/>
      <c r="C38" s="149"/>
      <c r="D38" s="149"/>
    </row>
    <row r="39" spans="1:4" x14ac:dyDescent="0.3">
      <c r="A39" s="3" t="s">
        <v>91</v>
      </c>
      <c r="B39" s="4">
        <v>4130525289</v>
      </c>
      <c r="C39" s="4">
        <v>4130525289</v>
      </c>
      <c r="D39" s="5">
        <f>B39-C39</f>
        <v>0</v>
      </c>
    </row>
    <row r="40" spans="1:4" x14ac:dyDescent="0.3">
      <c r="A40" s="3" t="s">
        <v>92</v>
      </c>
      <c r="B40" s="4">
        <v>5.2</v>
      </c>
      <c r="C40" s="4">
        <v>6.62</v>
      </c>
      <c r="D40" s="5">
        <f>B40-C40</f>
        <v>-1.42</v>
      </c>
    </row>
    <row r="42" spans="1:4" x14ac:dyDescent="0.3">
      <c r="A42" s="150" t="s">
        <v>93</v>
      </c>
      <c r="B42" s="149"/>
      <c r="C42" s="149"/>
      <c r="D42" s="149"/>
    </row>
  </sheetData>
  <mergeCells count="8">
    <mergeCell ref="A42:D42"/>
    <mergeCell ref="A1:D1"/>
    <mergeCell ref="A23:D23"/>
    <mergeCell ref="A9:D9"/>
    <mergeCell ref="A4:D4"/>
    <mergeCell ref="A38:D38"/>
    <mergeCell ref="A30:D30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>
      <pane xSplit="2" ySplit="4" topLeftCell="C27" activePane="bottomRight" state="frozen"/>
      <selection pane="topRight"/>
      <selection pane="bottomLeft"/>
      <selection pane="bottomRight" activeCell="D6" sqref="D6:F44"/>
    </sheetView>
  </sheetViews>
  <sheetFormatPr defaultRowHeight="14.4" x14ac:dyDescent="0.3"/>
  <cols>
    <col min="1" max="1" width="7" style="52" customWidth="1"/>
    <col min="2" max="2" width="8" style="52" customWidth="1"/>
    <col min="3" max="3" width="62" style="52" customWidth="1"/>
    <col min="4" max="6" width="18" style="52" customWidth="1"/>
  </cols>
  <sheetData>
    <row r="1" spans="1:6" ht="30" customHeight="1" x14ac:dyDescent="0.3">
      <c r="A1" s="156" t="s">
        <v>94</v>
      </c>
      <c r="B1" s="149"/>
      <c r="C1" s="149"/>
      <c r="D1" s="149"/>
      <c r="E1" s="149"/>
      <c r="F1" s="149"/>
    </row>
    <row r="2" spans="1:6" ht="24" customHeight="1" x14ac:dyDescent="0.3">
      <c r="A2" s="154" t="s">
        <v>95</v>
      </c>
      <c r="B2" s="149"/>
      <c r="C2" s="149"/>
      <c r="D2" s="149"/>
      <c r="E2" s="149"/>
      <c r="F2" s="149"/>
    </row>
    <row r="3" spans="1:6" ht="18" customHeight="1" x14ac:dyDescent="0.3">
      <c r="A3" s="157" t="s">
        <v>96</v>
      </c>
      <c r="B3" s="149"/>
      <c r="C3" s="149"/>
      <c r="D3" s="149"/>
      <c r="E3" s="149"/>
      <c r="F3" s="149"/>
    </row>
    <row r="4" spans="1:6" ht="22.05" customHeight="1" x14ac:dyDescent="0.3">
      <c r="A4" s="63" t="s">
        <v>97</v>
      </c>
      <c r="B4" s="63" t="s">
        <v>98</v>
      </c>
      <c r="C4" s="63" t="s">
        <v>2</v>
      </c>
      <c r="D4" s="63" t="s">
        <v>99</v>
      </c>
      <c r="E4" s="63" t="s">
        <v>100</v>
      </c>
      <c r="F4" s="63" t="s">
        <v>101</v>
      </c>
    </row>
    <row r="5" spans="1:6" ht="15" customHeight="1" x14ac:dyDescent="0.3">
      <c r="A5" s="64"/>
      <c r="B5" s="64" t="s">
        <v>102</v>
      </c>
      <c r="C5" s="65" t="s">
        <v>103</v>
      </c>
      <c r="D5" s="66"/>
      <c r="E5" s="66"/>
      <c r="F5" s="66"/>
    </row>
    <row r="6" spans="1:6" ht="15" customHeight="1" x14ac:dyDescent="0.3">
      <c r="A6" s="67">
        <v>1</v>
      </c>
      <c r="B6" s="67" t="s">
        <v>102</v>
      </c>
      <c r="C6" s="68" t="s">
        <v>104</v>
      </c>
      <c r="D6" s="93">
        <v>3008.82</v>
      </c>
      <c r="E6" s="93">
        <v>3687.67</v>
      </c>
      <c r="F6" s="93">
        <v>-678.85</v>
      </c>
    </row>
    <row r="7" spans="1:6" ht="15" customHeight="1" x14ac:dyDescent="0.3">
      <c r="A7" s="69">
        <v>2</v>
      </c>
      <c r="B7" s="69" t="s">
        <v>102</v>
      </c>
      <c r="C7" s="70" t="s">
        <v>105</v>
      </c>
      <c r="D7" s="87">
        <v>5649.57</v>
      </c>
      <c r="E7" s="87">
        <v>5277.45</v>
      </c>
      <c r="F7" s="87">
        <v>372.12</v>
      </c>
    </row>
    <row r="8" spans="1:6" ht="15" customHeight="1" x14ac:dyDescent="0.3">
      <c r="A8" s="67">
        <v>3</v>
      </c>
      <c r="B8" s="67" t="s">
        <v>102</v>
      </c>
      <c r="C8" s="68" t="s">
        <v>106</v>
      </c>
      <c r="D8" s="93">
        <v>43.93</v>
      </c>
      <c r="E8" s="93">
        <v>-130</v>
      </c>
      <c r="F8" s="93">
        <v>173.93</v>
      </c>
    </row>
    <row r="9" spans="1:6" ht="15" customHeight="1" x14ac:dyDescent="0.3">
      <c r="A9" s="69">
        <v>4</v>
      </c>
      <c r="B9" s="69" t="s">
        <v>102</v>
      </c>
      <c r="C9" s="70" t="s">
        <v>107</v>
      </c>
      <c r="D9" s="87">
        <v>-305.14999999999998</v>
      </c>
      <c r="E9" s="87">
        <v>-306.45</v>
      </c>
      <c r="F9" s="87">
        <v>1.3</v>
      </c>
    </row>
    <row r="10" spans="1:6" ht="15" customHeight="1" x14ac:dyDescent="0.3">
      <c r="A10" s="67">
        <v>5</v>
      </c>
      <c r="B10" s="67" t="s">
        <v>102</v>
      </c>
      <c r="C10" s="68" t="s">
        <v>108</v>
      </c>
      <c r="D10" s="93">
        <v>-273.18</v>
      </c>
      <c r="E10" s="93">
        <v>-168.81</v>
      </c>
      <c r="F10" s="93">
        <v>-104.37</v>
      </c>
    </row>
    <row r="11" spans="1:6" ht="15" customHeight="1" x14ac:dyDescent="0.3">
      <c r="A11" s="69">
        <v>6</v>
      </c>
      <c r="B11" s="69" t="s">
        <v>102</v>
      </c>
      <c r="C11" s="70" t="s">
        <v>109</v>
      </c>
      <c r="D11" s="87">
        <v>2792.77</v>
      </c>
      <c r="E11" s="87">
        <v>2473.81</v>
      </c>
      <c r="F11" s="87">
        <v>318.95999999999998</v>
      </c>
    </row>
    <row r="12" spans="1:6" ht="15" customHeight="1" x14ac:dyDescent="0.3">
      <c r="A12" s="67">
        <v>7</v>
      </c>
      <c r="B12" s="67" t="s">
        <v>102</v>
      </c>
      <c r="C12" s="68" t="s">
        <v>110</v>
      </c>
      <c r="D12" s="93">
        <v>-0.06</v>
      </c>
      <c r="E12" s="93" t="s">
        <v>111</v>
      </c>
      <c r="F12" s="93"/>
    </row>
    <row r="13" spans="1:6" ht="15" customHeight="1" x14ac:dyDescent="0.3">
      <c r="A13" s="69">
        <v>8</v>
      </c>
      <c r="B13" s="69" t="s">
        <v>102</v>
      </c>
      <c r="C13" s="70" t="s">
        <v>112</v>
      </c>
      <c r="D13" s="87">
        <v>164.39</v>
      </c>
      <c r="E13" s="87">
        <v>62.9</v>
      </c>
      <c r="F13" s="87">
        <v>101.49</v>
      </c>
    </row>
    <row r="14" spans="1:6" ht="15" customHeight="1" x14ac:dyDescent="0.3">
      <c r="A14" s="67">
        <v>9</v>
      </c>
      <c r="B14" s="67" t="s">
        <v>102</v>
      </c>
      <c r="C14" s="68" t="s">
        <v>113</v>
      </c>
      <c r="D14" s="93">
        <v>131.1</v>
      </c>
      <c r="E14" s="93">
        <v>148.66999999999999</v>
      </c>
      <c r="F14" s="93">
        <v>-17.57</v>
      </c>
    </row>
    <row r="15" spans="1:6" ht="15" customHeight="1" x14ac:dyDescent="0.3">
      <c r="A15" s="69">
        <v>10</v>
      </c>
      <c r="B15" s="69" t="s">
        <v>102</v>
      </c>
      <c r="C15" s="70" t="s">
        <v>114</v>
      </c>
      <c r="D15" s="87">
        <v>-244.61</v>
      </c>
      <c r="E15" s="87">
        <v>-328.85</v>
      </c>
      <c r="F15" s="87">
        <v>84.24</v>
      </c>
    </row>
    <row r="16" spans="1:6" ht="15" customHeight="1" x14ac:dyDescent="0.3">
      <c r="A16" s="72">
        <v>11</v>
      </c>
      <c r="B16" s="72" t="s">
        <v>102</v>
      </c>
      <c r="C16" s="73" t="s">
        <v>115</v>
      </c>
      <c r="D16" s="94">
        <v>10967.58</v>
      </c>
      <c r="E16" s="94">
        <v>10716.39</v>
      </c>
      <c r="F16" s="94">
        <v>251.19</v>
      </c>
    </row>
    <row r="17" spans="1:6" ht="15" customHeight="1" x14ac:dyDescent="0.3">
      <c r="A17" s="69">
        <v>12</v>
      </c>
      <c r="B17" s="69" t="s">
        <v>102</v>
      </c>
      <c r="C17" s="70" t="s">
        <v>116</v>
      </c>
      <c r="D17" s="87">
        <v>601.33000000000004</v>
      </c>
      <c r="E17" s="87">
        <v>-2979.91</v>
      </c>
      <c r="F17" s="87">
        <v>3581.24</v>
      </c>
    </row>
    <row r="18" spans="1:6" ht="15" customHeight="1" x14ac:dyDescent="0.3">
      <c r="A18" s="67">
        <v>13</v>
      </c>
      <c r="B18" s="67" t="s">
        <v>102</v>
      </c>
      <c r="C18" s="68" t="s">
        <v>117</v>
      </c>
      <c r="D18" s="93">
        <v>2929.49</v>
      </c>
      <c r="E18" s="93">
        <v>-1501.21</v>
      </c>
      <c r="F18" s="93">
        <v>4430.7</v>
      </c>
    </row>
    <row r="19" spans="1:6" ht="15" customHeight="1" x14ac:dyDescent="0.3">
      <c r="A19" s="69">
        <v>14</v>
      </c>
      <c r="B19" s="69" t="s">
        <v>102</v>
      </c>
      <c r="C19" s="70" t="s">
        <v>118</v>
      </c>
      <c r="D19" s="87">
        <v>-4833.84</v>
      </c>
      <c r="E19" s="87">
        <v>993.52</v>
      </c>
      <c r="F19" s="87">
        <v>-5827.36</v>
      </c>
    </row>
    <row r="20" spans="1:6" ht="15" customHeight="1" x14ac:dyDescent="0.3">
      <c r="A20" s="67">
        <v>15</v>
      </c>
      <c r="B20" s="67" t="s">
        <v>102</v>
      </c>
      <c r="C20" s="68" t="s">
        <v>119</v>
      </c>
      <c r="D20" s="93">
        <v>-2710.34</v>
      </c>
      <c r="E20" s="93">
        <v>974.11</v>
      </c>
      <c r="F20" s="93">
        <v>-3684.45</v>
      </c>
    </row>
    <row r="21" spans="1:6" ht="15" customHeight="1" x14ac:dyDescent="0.3">
      <c r="A21" s="69">
        <v>16</v>
      </c>
      <c r="B21" s="69" t="s">
        <v>102</v>
      </c>
      <c r="C21" s="70" t="s">
        <v>120</v>
      </c>
      <c r="D21" s="87">
        <v>79.98</v>
      </c>
      <c r="E21" s="87">
        <v>-165.37</v>
      </c>
      <c r="F21" s="87">
        <v>245.35</v>
      </c>
    </row>
    <row r="22" spans="1:6" ht="15" customHeight="1" x14ac:dyDescent="0.3">
      <c r="A22" s="67">
        <v>17</v>
      </c>
      <c r="B22" s="67" t="s">
        <v>102</v>
      </c>
      <c r="C22" s="68" t="s">
        <v>121</v>
      </c>
      <c r="D22" s="93">
        <v>3491.54</v>
      </c>
      <c r="E22" s="93">
        <v>-5010.8999999999996</v>
      </c>
      <c r="F22" s="93">
        <v>8502.44</v>
      </c>
    </row>
    <row r="23" spans="1:6" ht="15" customHeight="1" x14ac:dyDescent="0.3">
      <c r="A23" s="72">
        <v>18</v>
      </c>
      <c r="B23" s="72" t="s">
        <v>102</v>
      </c>
      <c r="C23" s="73" t="s">
        <v>122</v>
      </c>
      <c r="D23" s="94">
        <v>10525.74</v>
      </c>
      <c r="E23" s="94">
        <v>3026.63</v>
      </c>
      <c r="F23" s="94">
        <v>7499.11</v>
      </c>
    </row>
    <row r="24" spans="1:6" ht="15" customHeight="1" x14ac:dyDescent="0.3">
      <c r="A24" s="67">
        <v>19</v>
      </c>
      <c r="B24" s="67" t="s">
        <v>102</v>
      </c>
      <c r="C24" s="68" t="s">
        <v>123</v>
      </c>
      <c r="D24" s="93">
        <v>-637.4</v>
      </c>
      <c r="E24" s="93">
        <v>-93.44</v>
      </c>
      <c r="F24" s="93">
        <v>-543.96</v>
      </c>
    </row>
    <row r="25" spans="1:6" ht="15" customHeight="1" x14ac:dyDescent="0.3">
      <c r="A25" s="72">
        <v>20</v>
      </c>
      <c r="B25" s="72" t="s">
        <v>102</v>
      </c>
      <c r="C25" s="73" t="s">
        <v>124</v>
      </c>
      <c r="D25" s="94">
        <v>9888.34</v>
      </c>
      <c r="E25" s="94">
        <v>2933.19</v>
      </c>
      <c r="F25" s="94">
        <v>6955.15</v>
      </c>
    </row>
    <row r="26" spans="1:6" ht="15" customHeight="1" x14ac:dyDescent="0.3">
      <c r="A26" s="64"/>
      <c r="B26" s="64" t="s">
        <v>125</v>
      </c>
      <c r="C26" s="65" t="s">
        <v>126</v>
      </c>
      <c r="D26" s="95"/>
      <c r="E26" s="95"/>
      <c r="F26" s="95"/>
    </row>
    <row r="27" spans="1:6" ht="15" customHeight="1" x14ac:dyDescent="0.3">
      <c r="A27" s="67">
        <v>21</v>
      </c>
      <c r="B27" s="67" t="s">
        <v>125</v>
      </c>
      <c r="C27" s="68" t="s">
        <v>127</v>
      </c>
      <c r="D27" s="93">
        <v>-6427.52</v>
      </c>
      <c r="E27" s="93">
        <v>-4863.09</v>
      </c>
      <c r="F27" s="93">
        <v>-1564.43</v>
      </c>
    </row>
    <row r="28" spans="1:6" ht="15" customHeight="1" x14ac:dyDescent="0.3">
      <c r="A28" s="69">
        <v>22</v>
      </c>
      <c r="B28" s="69" t="s">
        <v>125</v>
      </c>
      <c r="C28" s="70" t="s">
        <v>128</v>
      </c>
      <c r="D28" s="87">
        <v>843.72</v>
      </c>
      <c r="E28" s="87">
        <v>502.85</v>
      </c>
      <c r="F28" s="87">
        <v>340.87</v>
      </c>
    </row>
    <row r="29" spans="1:6" ht="15" customHeight="1" x14ac:dyDescent="0.3">
      <c r="A29" s="67">
        <v>23</v>
      </c>
      <c r="B29" s="67" t="s">
        <v>125</v>
      </c>
      <c r="C29" s="68" t="s">
        <v>129</v>
      </c>
      <c r="D29" s="93">
        <v>-2.92</v>
      </c>
      <c r="E29" s="93" t="s">
        <v>111</v>
      </c>
      <c r="F29" s="93"/>
    </row>
    <row r="30" spans="1:6" ht="15" customHeight="1" x14ac:dyDescent="0.3">
      <c r="A30" s="69">
        <v>24</v>
      </c>
      <c r="B30" s="69" t="s">
        <v>125</v>
      </c>
      <c r="C30" s="70" t="s">
        <v>130</v>
      </c>
      <c r="D30" s="87">
        <v>-91.53</v>
      </c>
      <c r="E30" s="87">
        <v>-280.94</v>
      </c>
      <c r="F30" s="87">
        <v>189.41</v>
      </c>
    </row>
    <row r="31" spans="1:6" ht="15" customHeight="1" x14ac:dyDescent="0.3">
      <c r="A31" s="67">
        <v>25</v>
      </c>
      <c r="B31" s="67" t="s">
        <v>125</v>
      </c>
      <c r="C31" s="68" t="s">
        <v>131</v>
      </c>
      <c r="D31" s="93">
        <v>172.15</v>
      </c>
      <c r="E31" s="93">
        <v>192.11</v>
      </c>
      <c r="F31" s="93">
        <v>-19.96</v>
      </c>
    </row>
    <row r="32" spans="1:6" ht="15" customHeight="1" x14ac:dyDescent="0.3">
      <c r="A32" s="69">
        <v>26</v>
      </c>
      <c r="B32" s="69" t="s">
        <v>125</v>
      </c>
      <c r="C32" s="70" t="s">
        <v>132</v>
      </c>
      <c r="D32" s="87">
        <v>273.18</v>
      </c>
      <c r="E32" s="87">
        <v>168.81</v>
      </c>
      <c r="F32" s="87">
        <v>104.37</v>
      </c>
    </row>
    <row r="33" spans="1:6" ht="15" customHeight="1" x14ac:dyDescent="0.3">
      <c r="A33" s="72">
        <v>27</v>
      </c>
      <c r="B33" s="72" t="s">
        <v>125</v>
      </c>
      <c r="C33" s="73" t="s">
        <v>133</v>
      </c>
      <c r="D33" s="94">
        <v>-5232.92</v>
      </c>
      <c r="E33" s="94">
        <v>-4280.26</v>
      </c>
      <c r="F33" s="94">
        <v>-952.66</v>
      </c>
    </row>
    <row r="34" spans="1:6" ht="15" customHeight="1" x14ac:dyDescent="0.3">
      <c r="A34" s="64"/>
      <c r="B34" s="64" t="s">
        <v>134</v>
      </c>
      <c r="C34" s="65" t="s">
        <v>135</v>
      </c>
      <c r="D34" s="95"/>
      <c r="E34" s="95"/>
      <c r="F34" s="95"/>
    </row>
    <row r="35" spans="1:6" ht="15" customHeight="1" x14ac:dyDescent="0.3">
      <c r="A35" s="69">
        <v>28</v>
      </c>
      <c r="B35" s="69" t="s">
        <v>134</v>
      </c>
      <c r="C35" s="70" t="s">
        <v>136</v>
      </c>
      <c r="D35" s="87">
        <v>1250</v>
      </c>
      <c r="E35" s="87">
        <v>5000</v>
      </c>
      <c r="F35" s="87">
        <v>-3750</v>
      </c>
    </row>
    <row r="36" spans="1:6" ht="15" customHeight="1" x14ac:dyDescent="0.3">
      <c r="A36" s="67">
        <v>29</v>
      </c>
      <c r="B36" s="67" t="s">
        <v>134</v>
      </c>
      <c r="C36" s="68" t="s">
        <v>137</v>
      </c>
      <c r="D36" s="93">
        <v>-1083.72</v>
      </c>
      <c r="E36" s="93">
        <v>-2494.9299999999998</v>
      </c>
      <c r="F36" s="93">
        <v>1411.21</v>
      </c>
    </row>
    <row r="37" spans="1:6" ht="15" customHeight="1" x14ac:dyDescent="0.3">
      <c r="A37" s="69">
        <v>30</v>
      </c>
      <c r="B37" s="69" t="s">
        <v>134</v>
      </c>
      <c r="C37" s="70" t="s">
        <v>138</v>
      </c>
      <c r="D37" s="87">
        <v>-948.49</v>
      </c>
      <c r="E37" s="87">
        <v>2426.4699999999998</v>
      </c>
      <c r="F37" s="87">
        <v>-3374.96</v>
      </c>
    </row>
    <row r="38" spans="1:6" ht="15" customHeight="1" x14ac:dyDescent="0.3">
      <c r="A38" s="67">
        <v>31</v>
      </c>
      <c r="B38" s="67" t="s">
        <v>134</v>
      </c>
      <c r="C38" s="68" t="s">
        <v>139</v>
      </c>
      <c r="D38" s="93">
        <v>-822.31</v>
      </c>
      <c r="E38" s="93">
        <v>-801.03</v>
      </c>
      <c r="F38" s="93">
        <v>-21.28</v>
      </c>
    </row>
    <row r="39" spans="1:6" ht="15" customHeight="1" x14ac:dyDescent="0.3">
      <c r="A39" s="69">
        <v>32</v>
      </c>
      <c r="B39" s="69" t="s">
        <v>134</v>
      </c>
      <c r="C39" s="70" t="s">
        <v>140</v>
      </c>
      <c r="D39" s="87">
        <v>-2365.96</v>
      </c>
      <c r="E39" s="87">
        <v>-2156.5700000000002</v>
      </c>
      <c r="F39" s="87">
        <v>-209.39</v>
      </c>
    </row>
    <row r="40" spans="1:6" ht="15" customHeight="1" x14ac:dyDescent="0.3">
      <c r="A40" s="67">
        <v>33</v>
      </c>
      <c r="B40" s="67" t="s">
        <v>134</v>
      </c>
      <c r="C40" s="68" t="s">
        <v>141</v>
      </c>
      <c r="D40" s="93">
        <v>-413.05</v>
      </c>
      <c r="E40" s="93">
        <v>-619.58000000000004</v>
      </c>
      <c r="F40" s="93">
        <v>206.53</v>
      </c>
    </row>
    <row r="41" spans="1:6" ht="15" customHeight="1" x14ac:dyDescent="0.3">
      <c r="A41" s="72">
        <v>34</v>
      </c>
      <c r="B41" s="72" t="s">
        <v>134</v>
      </c>
      <c r="C41" s="73" t="s">
        <v>142</v>
      </c>
      <c r="D41" s="94">
        <v>-4383.53</v>
      </c>
      <c r="E41" s="94">
        <v>1354.36</v>
      </c>
      <c r="F41" s="94">
        <v>-5737.89</v>
      </c>
    </row>
    <row r="42" spans="1:6" ht="15" customHeight="1" x14ac:dyDescent="0.3">
      <c r="A42" s="72">
        <v>35</v>
      </c>
      <c r="B42" s="72" t="s">
        <v>143</v>
      </c>
      <c r="C42" s="73" t="s">
        <v>144</v>
      </c>
      <c r="D42" s="94">
        <v>271.89</v>
      </c>
      <c r="E42" s="94">
        <v>7.29</v>
      </c>
      <c r="F42" s="94">
        <v>264.60000000000002</v>
      </c>
    </row>
    <row r="43" spans="1:6" ht="15" customHeight="1" x14ac:dyDescent="0.3">
      <c r="A43" s="69">
        <v>36</v>
      </c>
      <c r="B43" s="69" t="s">
        <v>143</v>
      </c>
      <c r="C43" s="70" t="s">
        <v>145</v>
      </c>
      <c r="D43" s="87">
        <v>13.73</v>
      </c>
      <c r="E43" s="87">
        <v>6.44</v>
      </c>
      <c r="F43" s="87">
        <v>7.29</v>
      </c>
    </row>
    <row r="44" spans="1:6" ht="15" customHeight="1" x14ac:dyDescent="0.3">
      <c r="A44" s="67">
        <v>37</v>
      </c>
      <c r="B44" s="67" t="s">
        <v>143</v>
      </c>
      <c r="C44" s="68" t="s">
        <v>147</v>
      </c>
      <c r="D44" s="93">
        <v>285.62</v>
      </c>
      <c r="E44" s="93">
        <v>13.73</v>
      </c>
      <c r="F44" s="93">
        <v>271.89</v>
      </c>
    </row>
    <row r="46" spans="1:6" ht="13.95" customHeight="1" x14ac:dyDescent="0.3">
      <c r="A46" s="155" t="s">
        <v>149</v>
      </c>
      <c r="B46" s="149"/>
      <c r="C46" s="149"/>
      <c r="D46" s="149"/>
      <c r="E46" s="149"/>
      <c r="F46" s="149"/>
    </row>
    <row r="47" spans="1:6" ht="13.95" customHeight="1" x14ac:dyDescent="0.3">
      <c r="A47" s="155" t="s">
        <v>150</v>
      </c>
      <c r="B47" s="149"/>
      <c r="C47" s="149"/>
      <c r="D47" s="149"/>
      <c r="E47" s="149"/>
      <c r="F47" s="149"/>
    </row>
    <row r="48" spans="1:6" ht="13.95" customHeight="1" x14ac:dyDescent="0.3">
      <c r="A48" s="155" t="s">
        <v>151</v>
      </c>
      <c r="B48" s="149"/>
      <c r="C48" s="149"/>
      <c r="D48" s="149"/>
      <c r="E48" s="149"/>
      <c r="F48" s="149"/>
    </row>
  </sheetData>
  <mergeCells count="6">
    <mergeCell ref="A2:F2"/>
    <mergeCell ref="A47:F47"/>
    <mergeCell ref="A46:F46"/>
    <mergeCell ref="A1:F1"/>
    <mergeCell ref="A48:F48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3"/>
  <sheetViews>
    <sheetView workbookViewId="0">
      <pane xSplit="2" ySplit="3" topLeftCell="C409" activePane="bottomRight" state="frozen"/>
      <selection pane="topRight"/>
      <selection pane="bottomLeft"/>
      <selection pane="bottomRight" activeCell="C388" sqref="C388:D422"/>
    </sheetView>
  </sheetViews>
  <sheetFormatPr defaultRowHeight="14.4" x14ac:dyDescent="0.3"/>
  <cols>
    <col min="1" max="1" width="7" style="52" customWidth="1"/>
    <col min="2" max="2" width="62.77734375" style="52" bestFit="1" customWidth="1"/>
    <col min="3" max="3" width="62" style="52" customWidth="1"/>
    <col min="4" max="5" width="18" style="52" customWidth="1"/>
  </cols>
  <sheetData>
    <row r="1" spans="1:5" ht="25.95" customHeight="1" x14ac:dyDescent="0.3">
      <c r="A1" s="156" t="s">
        <v>94</v>
      </c>
      <c r="B1" s="149"/>
      <c r="C1" s="149"/>
      <c r="D1" s="149"/>
      <c r="E1" s="149"/>
    </row>
    <row r="2" spans="1:5" ht="22.05" customHeight="1" x14ac:dyDescent="0.3">
      <c r="A2" s="161" t="s">
        <v>152</v>
      </c>
      <c r="B2" s="149"/>
      <c r="C2" s="149"/>
      <c r="D2" s="149"/>
      <c r="E2" s="149"/>
    </row>
    <row r="3" spans="1:5" ht="18" customHeight="1" x14ac:dyDescent="0.3">
      <c r="A3" s="160" t="s">
        <v>153</v>
      </c>
      <c r="B3" s="149"/>
      <c r="C3" s="149"/>
      <c r="D3" s="149"/>
      <c r="E3" s="149"/>
    </row>
    <row r="4" spans="1:5" ht="7.95" customHeight="1" x14ac:dyDescent="0.3"/>
    <row r="5" spans="1:5" ht="19.95" customHeight="1" x14ac:dyDescent="0.3">
      <c r="A5" s="158" t="s">
        <v>154</v>
      </c>
      <c r="B5" s="149"/>
      <c r="C5" s="149"/>
      <c r="D5" s="149"/>
      <c r="E5" s="149"/>
    </row>
    <row r="6" spans="1:5" ht="30" customHeight="1" x14ac:dyDescent="0.3">
      <c r="A6" s="74" t="s">
        <v>97</v>
      </c>
      <c r="B6" s="74" t="s">
        <v>2</v>
      </c>
      <c r="C6" s="74" t="s">
        <v>3</v>
      </c>
      <c r="D6" s="74" t="s">
        <v>4</v>
      </c>
      <c r="E6" s="74"/>
    </row>
    <row r="7" spans="1:5" ht="16.05" customHeight="1" x14ac:dyDescent="0.3">
      <c r="A7" s="69">
        <v>1</v>
      </c>
      <c r="B7" s="70" t="s">
        <v>155</v>
      </c>
      <c r="C7" s="71" t="s">
        <v>111</v>
      </c>
      <c r="D7" s="71" t="s">
        <v>111</v>
      </c>
      <c r="E7" s="70"/>
    </row>
    <row r="8" spans="1:5" ht="16.05" customHeight="1" x14ac:dyDescent="0.3">
      <c r="A8" s="75">
        <v>2</v>
      </c>
      <c r="B8" s="76" t="s">
        <v>156</v>
      </c>
      <c r="C8" s="77" t="s">
        <v>111</v>
      </c>
      <c r="D8" s="77" t="s">
        <v>111</v>
      </c>
      <c r="E8" s="76"/>
    </row>
    <row r="9" spans="1:5" ht="16.05" customHeight="1" x14ac:dyDescent="0.3">
      <c r="A9" s="69">
        <v>3</v>
      </c>
      <c r="B9" s="70" t="s">
        <v>157</v>
      </c>
      <c r="C9" s="71" t="s">
        <v>111</v>
      </c>
      <c r="D9" s="71" t="s">
        <v>111</v>
      </c>
      <c r="E9" s="70"/>
    </row>
    <row r="10" spans="1:5" ht="16.05" customHeight="1" x14ac:dyDescent="0.3">
      <c r="A10" s="75">
        <v>4</v>
      </c>
      <c r="B10" s="76" t="s">
        <v>158</v>
      </c>
      <c r="C10" s="77" t="s">
        <v>159</v>
      </c>
      <c r="D10" s="77" t="s">
        <v>160</v>
      </c>
      <c r="E10" s="76"/>
    </row>
    <row r="11" spans="1:5" ht="16.05" customHeight="1" x14ac:dyDescent="0.3">
      <c r="A11" s="69">
        <v>5</v>
      </c>
      <c r="B11" s="70" t="s">
        <v>161</v>
      </c>
      <c r="C11" s="71" t="s">
        <v>162</v>
      </c>
      <c r="D11" s="71" t="s">
        <v>163</v>
      </c>
      <c r="E11" s="70"/>
    </row>
    <row r="12" spans="1:5" ht="16.95" customHeight="1" x14ac:dyDescent="0.3">
      <c r="A12" s="78"/>
      <c r="B12" s="79" t="s">
        <v>164</v>
      </c>
      <c r="C12" s="80" t="s">
        <v>111</v>
      </c>
      <c r="D12" s="80" t="s">
        <v>111</v>
      </c>
      <c r="E12" s="79"/>
    </row>
    <row r="13" spans="1:5" ht="7.95" customHeight="1" x14ac:dyDescent="0.3"/>
    <row r="14" spans="1:5" ht="19.95" customHeight="1" x14ac:dyDescent="0.3">
      <c r="A14" s="158" t="s">
        <v>165</v>
      </c>
      <c r="B14" s="149"/>
      <c r="C14" s="149"/>
      <c r="D14" s="149"/>
      <c r="E14" s="149"/>
    </row>
    <row r="15" spans="1:5" ht="30" customHeight="1" x14ac:dyDescent="0.3">
      <c r="A15" s="74" t="s">
        <v>97</v>
      </c>
      <c r="B15" s="74" t="s">
        <v>2</v>
      </c>
      <c r="C15" s="74" t="s">
        <v>3</v>
      </c>
      <c r="D15" s="74" t="s">
        <v>4</v>
      </c>
      <c r="E15" s="74"/>
    </row>
    <row r="16" spans="1:5" ht="16.05" customHeight="1" x14ac:dyDescent="0.3">
      <c r="A16" s="69">
        <v>1</v>
      </c>
      <c r="B16" s="70" t="s">
        <v>166</v>
      </c>
      <c r="C16" s="71" t="s">
        <v>167</v>
      </c>
      <c r="D16" s="71" t="s">
        <v>168</v>
      </c>
      <c r="E16" s="70"/>
    </row>
    <row r="17" spans="1:5" ht="16.05" customHeight="1" x14ac:dyDescent="0.3">
      <c r="A17" s="75">
        <v>2</v>
      </c>
      <c r="B17" s="76" t="s">
        <v>169</v>
      </c>
      <c r="C17" s="77" t="s">
        <v>170</v>
      </c>
      <c r="D17" s="77" t="s">
        <v>171</v>
      </c>
      <c r="E17" s="76"/>
    </row>
    <row r="18" spans="1:5" ht="16.05" customHeight="1" x14ac:dyDescent="0.3">
      <c r="A18" s="81">
        <v>3</v>
      </c>
      <c r="B18" s="82" t="s">
        <v>172</v>
      </c>
      <c r="C18" s="83" t="s">
        <v>173</v>
      </c>
      <c r="D18" s="83" t="s">
        <v>174</v>
      </c>
      <c r="E18" s="84"/>
    </row>
    <row r="19" spans="1:5" ht="16.05" customHeight="1" x14ac:dyDescent="0.3">
      <c r="A19" s="75">
        <v>4</v>
      </c>
      <c r="B19" s="76" t="s">
        <v>161</v>
      </c>
      <c r="C19" s="77" t="s">
        <v>175</v>
      </c>
      <c r="D19" s="77" t="s">
        <v>176</v>
      </c>
      <c r="E19" s="76"/>
    </row>
    <row r="20" spans="1:5" ht="16.95" customHeight="1" x14ac:dyDescent="0.3">
      <c r="A20" s="78"/>
      <c r="B20" s="79" t="s">
        <v>177</v>
      </c>
      <c r="C20" s="80" t="s">
        <v>178</v>
      </c>
      <c r="D20" s="80" t="s">
        <v>179</v>
      </c>
      <c r="E20" s="79"/>
    </row>
    <row r="21" spans="1:5" ht="7.95" customHeight="1" x14ac:dyDescent="0.3"/>
    <row r="22" spans="1:5" ht="19.95" customHeight="1" x14ac:dyDescent="0.3">
      <c r="A22" s="158" t="s">
        <v>180</v>
      </c>
      <c r="B22" s="149"/>
      <c r="C22" s="149"/>
      <c r="D22" s="149"/>
      <c r="E22" s="149"/>
    </row>
    <row r="23" spans="1:5" ht="30" customHeight="1" x14ac:dyDescent="0.3">
      <c r="A23" s="74" t="s">
        <v>97</v>
      </c>
      <c r="B23" s="74" t="s">
        <v>2</v>
      </c>
      <c r="C23" s="74" t="s">
        <v>3</v>
      </c>
      <c r="D23" s="74" t="s">
        <v>4</v>
      </c>
      <c r="E23" s="74"/>
    </row>
    <row r="24" spans="1:5" ht="16.05" customHeight="1" x14ac:dyDescent="0.3">
      <c r="A24" s="69">
        <v>1</v>
      </c>
      <c r="B24" s="70" t="s">
        <v>181</v>
      </c>
      <c r="C24" s="71" t="s">
        <v>182</v>
      </c>
      <c r="D24" s="71" t="s">
        <v>183</v>
      </c>
      <c r="E24" s="70"/>
    </row>
    <row r="25" spans="1:5" ht="16.05" customHeight="1" x14ac:dyDescent="0.3">
      <c r="A25" s="75">
        <v>2</v>
      </c>
      <c r="B25" s="76" t="s">
        <v>184</v>
      </c>
      <c r="C25" s="77" t="s">
        <v>185</v>
      </c>
      <c r="D25" s="77" t="s">
        <v>186</v>
      </c>
      <c r="E25" s="76"/>
    </row>
    <row r="26" spans="1:5" ht="16.05" customHeight="1" x14ac:dyDescent="0.3">
      <c r="A26" s="69">
        <v>3</v>
      </c>
      <c r="B26" s="70" t="s">
        <v>187</v>
      </c>
      <c r="C26" s="71" t="s">
        <v>188</v>
      </c>
      <c r="D26" s="71" t="s">
        <v>188</v>
      </c>
      <c r="E26" s="70"/>
    </row>
    <row r="27" spans="1:5" ht="16.05" customHeight="1" x14ac:dyDescent="0.3">
      <c r="A27" s="75">
        <v>4</v>
      </c>
      <c r="B27" s="76" t="s">
        <v>189</v>
      </c>
      <c r="C27" s="77" t="s">
        <v>190</v>
      </c>
      <c r="D27" s="77" t="s">
        <v>191</v>
      </c>
      <c r="E27" s="76"/>
    </row>
    <row r="28" spans="1:5" ht="16.05" customHeight="1" x14ac:dyDescent="0.3">
      <c r="A28" s="69">
        <v>5</v>
      </c>
      <c r="B28" s="70" t="s">
        <v>192</v>
      </c>
      <c r="C28" s="71" t="s">
        <v>193</v>
      </c>
      <c r="D28" s="71" t="s">
        <v>194</v>
      </c>
      <c r="E28" s="70"/>
    </row>
    <row r="29" spans="1:5" ht="16.05" customHeight="1" x14ac:dyDescent="0.3">
      <c r="A29" s="75">
        <v>6</v>
      </c>
      <c r="B29" s="76" t="s">
        <v>195</v>
      </c>
      <c r="C29" s="77" t="s">
        <v>196</v>
      </c>
      <c r="D29" s="77" t="s">
        <v>196</v>
      </c>
      <c r="E29" s="76"/>
    </row>
    <row r="30" spans="1:5" ht="16.05" customHeight="1" x14ac:dyDescent="0.3">
      <c r="A30" s="69">
        <v>7</v>
      </c>
      <c r="B30" s="70" t="s">
        <v>197</v>
      </c>
      <c r="C30" s="71" t="s">
        <v>198</v>
      </c>
      <c r="D30" s="71" t="s">
        <v>199</v>
      </c>
      <c r="E30" s="70"/>
    </row>
    <row r="31" spans="1:5" ht="16.05" customHeight="1" x14ac:dyDescent="0.3">
      <c r="A31" s="75">
        <v>8</v>
      </c>
      <c r="B31" s="76" t="s">
        <v>200</v>
      </c>
      <c r="C31" s="77" t="s">
        <v>201</v>
      </c>
      <c r="D31" s="77" t="s">
        <v>202</v>
      </c>
      <c r="E31" s="76"/>
    </row>
    <row r="32" spans="1:5" ht="16.05" customHeight="1" x14ac:dyDescent="0.3">
      <c r="A32" s="81">
        <v>9</v>
      </c>
      <c r="B32" s="82" t="s">
        <v>203</v>
      </c>
      <c r="C32" s="83" t="s">
        <v>204</v>
      </c>
      <c r="D32" s="83" t="s">
        <v>205</v>
      </c>
      <c r="E32" s="84"/>
    </row>
    <row r="33" spans="1:5" ht="16.05" customHeight="1" x14ac:dyDescent="0.3">
      <c r="A33" s="75">
        <v>10</v>
      </c>
      <c r="B33" s="76" t="s">
        <v>206</v>
      </c>
      <c r="C33" s="77" t="s">
        <v>207</v>
      </c>
      <c r="D33" s="77" t="s">
        <v>208</v>
      </c>
      <c r="E33" s="76"/>
    </row>
    <row r="34" spans="1:5" ht="16.95" customHeight="1" x14ac:dyDescent="0.3">
      <c r="A34" s="78"/>
      <c r="B34" s="79" t="s">
        <v>209</v>
      </c>
      <c r="C34" s="80" t="s">
        <v>210</v>
      </c>
      <c r="D34" s="80" t="s">
        <v>211</v>
      </c>
      <c r="E34" s="79"/>
    </row>
    <row r="35" spans="1:5" ht="7.95" customHeight="1" x14ac:dyDescent="0.3"/>
    <row r="36" spans="1:5" ht="19.95" customHeight="1" x14ac:dyDescent="0.3">
      <c r="A36" s="158" t="s">
        <v>212</v>
      </c>
      <c r="B36" s="149"/>
      <c r="C36" s="149"/>
      <c r="D36" s="149"/>
      <c r="E36" s="149"/>
    </row>
    <row r="37" spans="1:5" ht="30" customHeight="1" x14ac:dyDescent="0.3">
      <c r="A37" s="74" t="s">
        <v>97</v>
      </c>
      <c r="B37" s="74" t="s">
        <v>2</v>
      </c>
      <c r="C37" s="74" t="s">
        <v>3</v>
      </c>
      <c r="D37" s="74" t="s">
        <v>4</v>
      </c>
      <c r="E37" s="74"/>
    </row>
    <row r="38" spans="1:5" ht="16.05" customHeight="1" x14ac:dyDescent="0.3">
      <c r="A38" s="69">
        <v>1</v>
      </c>
      <c r="B38" s="70" t="s">
        <v>213</v>
      </c>
      <c r="C38" s="71" t="s">
        <v>214</v>
      </c>
      <c r="D38" s="71" t="s">
        <v>215</v>
      </c>
      <c r="E38" s="70"/>
    </row>
    <row r="39" spans="1:5" ht="16.95" customHeight="1" x14ac:dyDescent="0.3">
      <c r="A39" s="78"/>
      <c r="B39" s="79" t="s">
        <v>216</v>
      </c>
      <c r="C39" s="80" t="s">
        <v>214</v>
      </c>
      <c r="D39" s="80" t="s">
        <v>215</v>
      </c>
      <c r="E39" s="79"/>
    </row>
    <row r="40" spans="1:5" ht="7.95" customHeight="1" x14ac:dyDescent="0.3"/>
    <row r="41" spans="1:5" ht="19.95" customHeight="1" x14ac:dyDescent="0.3">
      <c r="A41" s="158" t="s">
        <v>217</v>
      </c>
      <c r="B41" s="149"/>
      <c r="C41" s="149"/>
      <c r="D41" s="149"/>
      <c r="E41" s="149"/>
    </row>
    <row r="42" spans="1:5" ht="30" customHeight="1" x14ac:dyDescent="0.3">
      <c r="A42" s="74" t="s">
        <v>97</v>
      </c>
      <c r="B42" s="74" t="s">
        <v>2</v>
      </c>
      <c r="C42" s="74" t="s">
        <v>3</v>
      </c>
      <c r="D42" s="74" t="s">
        <v>4</v>
      </c>
      <c r="E42" s="74"/>
    </row>
    <row r="43" spans="1:5" ht="16.05" customHeight="1" x14ac:dyDescent="0.3">
      <c r="A43" s="69">
        <v>1</v>
      </c>
      <c r="B43" s="70" t="s">
        <v>218</v>
      </c>
      <c r="C43" s="71" t="s">
        <v>219</v>
      </c>
      <c r="D43" s="71" t="s">
        <v>220</v>
      </c>
      <c r="E43" s="70"/>
    </row>
    <row r="44" spans="1:5" ht="16.05" customHeight="1" x14ac:dyDescent="0.3">
      <c r="A44" s="75">
        <v>2</v>
      </c>
      <c r="B44" s="76" t="s">
        <v>221</v>
      </c>
      <c r="C44" s="77" t="s">
        <v>222</v>
      </c>
      <c r="D44" s="77" t="s">
        <v>222</v>
      </c>
      <c r="E44" s="76"/>
    </row>
    <row r="45" spans="1:5" ht="16.05" customHeight="1" x14ac:dyDescent="0.3">
      <c r="A45" s="69">
        <v>3</v>
      </c>
      <c r="B45" s="70" t="s">
        <v>223</v>
      </c>
      <c r="C45" s="71" t="s">
        <v>224</v>
      </c>
      <c r="D45" s="71" t="s">
        <v>225</v>
      </c>
      <c r="E45" s="70"/>
    </row>
    <row r="46" spans="1:5" ht="16.05" customHeight="1" x14ac:dyDescent="0.3">
      <c r="A46" s="75">
        <v>4</v>
      </c>
      <c r="B46" s="76" t="s">
        <v>226</v>
      </c>
      <c r="C46" s="77" t="s">
        <v>227</v>
      </c>
      <c r="D46" s="77" t="s">
        <v>228</v>
      </c>
      <c r="E46" s="76"/>
    </row>
    <row r="47" spans="1:5" ht="16.05" customHeight="1" x14ac:dyDescent="0.3">
      <c r="A47" s="69">
        <v>5</v>
      </c>
      <c r="B47" s="70" t="s">
        <v>229</v>
      </c>
      <c r="C47" s="71" t="s">
        <v>230</v>
      </c>
      <c r="D47" s="71" t="s">
        <v>231</v>
      </c>
      <c r="E47" s="70"/>
    </row>
    <row r="48" spans="1:5" ht="16.05" customHeight="1" x14ac:dyDescent="0.3">
      <c r="A48" s="75">
        <v>6</v>
      </c>
      <c r="B48" s="76" t="s">
        <v>232</v>
      </c>
      <c r="C48" s="77" t="s">
        <v>233</v>
      </c>
      <c r="D48" s="77" t="s">
        <v>234</v>
      </c>
      <c r="E48" s="76"/>
    </row>
    <row r="49" spans="1:5" ht="16.05" customHeight="1" x14ac:dyDescent="0.3">
      <c r="A49" s="69">
        <v>7</v>
      </c>
      <c r="B49" s="70" t="s">
        <v>235</v>
      </c>
      <c r="C49" s="71" t="s">
        <v>236</v>
      </c>
      <c r="D49" s="71" t="s">
        <v>237</v>
      </c>
      <c r="E49" s="70"/>
    </row>
    <row r="50" spans="1:5" ht="16.05" customHeight="1" x14ac:dyDescent="0.3">
      <c r="A50" s="75">
        <v>8</v>
      </c>
      <c r="B50" s="76" t="s">
        <v>238</v>
      </c>
      <c r="C50" s="77" t="s">
        <v>239</v>
      </c>
      <c r="D50" s="77" t="s">
        <v>111</v>
      </c>
      <c r="E50" s="76"/>
    </row>
    <row r="51" spans="1:5" ht="16.05" customHeight="1" x14ac:dyDescent="0.3">
      <c r="A51" s="81">
        <v>9</v>
      </c>
      <c r="B51" s="82" t="s">
        <v>240</v>
      </c>
      <c r="C51" s="83" t="s">
        <v>241</v>
      </c>
      <c r="D51" s="83" t="s">
        <v>242</v>
      </c>
      <c r="E51" s="84"/>
    </row>
    <row r="52" spans="1:5" ht="16.05" customHeight="1" x14ac:dyDescent="0.3">
      <c r="A52" s="75">
        <v>10</v>
      </c>
      <c r="B52" s="76" t="s">
        <v>243</v>
      </c>
      <c r="C52" s="77" t="s">
        <v>244</v>
      </c>
      <c r="D52" s="77" t="s">
        <v>245</v>
      </c>
      <c r="E52" s="76"/>
    </row>
    <row r="53" spans="1:5" ht="16.95" customHeight="1" x14ac:dyDescent="0.3">
      <c r="A53" s="78"/>
      <c r="B53" s="79" t="s">
        <v>246</v>
      </c>
      <c r="C53" s="80" t="s">
        <v>247</v>
      </c>
      <c r="D53" s="80" t="s">
        <v>248</v>
      </c>
      <c r="E53" s="79"/>
    </row>
    <row r="54" spans="1:5" ht="7.95" customHeight="1" x14ac:dyDescent="0.3"/>
    <row r="55" spans="1:5" ht="19.95" customHeight="1" x14ac:dyDescent="0.3">
      <c r="A55" s="158" t="s">
        <v>249</v>
      </c>
      <c r="B55" s="149"/>
      <c r="C55" s="149"/>
      <c r="D55" s="149"/>
      <c r="E55" s="149"/>
    </row>
    <row r="56" spans="1:5" ht="30" customHeight="1" x14ac:dyDescent="0.3">
      <c r="A56" s="74" t="s">
        <v>97</v>
      </c>
      <c r="B56" s="74" t="s">
        <v>2</v>
      </c>
      <c r="C56" s="74" t="s">
        <v>3</v>
      </c>
      <c r="D56" s="74" t="s">
        <v>4</v>
      </c>
      <c r="E56" s="74"/>
    </row>
    <row r="57" spans="1:5" ht="16.05" customHeight="1" x14ac:dyDescent="0.3">
      <c r="A57" s="69">
        <v>1</v>
      </c>
      <c r="B57" s="70" t="s">
        <v>250</v>
      </c>
      <c r="C57" s="71" t="s">
        <v>251</v>
      </c>
      <c r="D57" s="71" t="s">
        <v>252</v>
      </c>
      <c r="E57" s="70"/>
    </row>
    <row r="58" spans="1:5" ht="16.05" customHeight="1" x14ac:dyDescent="0.3">
      <c r="A58" s="75">
        <v>2</v>
      </c>
      <c r="B58" s="76" t="s">
        <v>253</v>
      </c>
      <c r="C58" s="77" t="s">
        <v>254</v>
      </c>
      <c r="D58" s="77" t="s">
        <v>255</v>
      </c>
      <c r="E58" s="76"/>
    </row>
    <row r="59" spans="1:5" ht="16.05" customHeight="1" x14ac:dyDescent="0.3">
      <c r="A59" s="81">
        <v>3</v>
      </c>
      <c r="B59" s="82" t="s">
        <v>256</v>
      </c>
      <c r="C59" s="83" t="s">
        <v>257</v>
      </c>
      <c r="D59" s="83" t="s">
        <v>258</v>
      </c>
      <c r="E59" s="84"/>
    </row>
    <row r="60" spans="1:5" ht="16.05" customHeight="1" x14ac:dyDescent="0.3">
      <c r="A60" s="75">
        <v>4</v>
      </c>
      <c r="B60" s="76" t="s">
        <v>259</v>
      </c>
      <c r="C60" s="77" t="s">
        <v>260</v>
      </c>
      <c r="D60" s="77" t="s">
        <v>261</v>
      </c>
      <c r="E60" s="76"/>
    </row>
    <row r="61" spans="1:5" ht="16.05" customHeight="1" x14ac:dyDescent="0.3">
      <c r="A61" s="69">
        <v>5</v>
      </c>
      <c r="B61" s="70" t="s">
        <v>262</v>
      </c>
      <c r="C61" s="71" t="s">
        <v>263</v>
      </c>
      <c r="D61" s="71" t="s">
        <v>264</v>
      </c>
      <c r="E61" s="70"/>
    </row>
    <row r="62" spans="1:5" ht="16.05" customHeight="1" x14ac:dyDescent="0.3">
      <c r="A62" s="75">
        <v>6</v>
      </c>
      <c r="B62" s="76" t="s">
        <v>265</v>
      </c>
      <c r="C62" s="77" t="s">
        <v>266</v>
      </c>
      <c r="D62" s="77" t="s">
        <v>267</v>
      </c>
      <c r="E62" s="76"/>
    </row>
    <row r="63" spans="1:5" ht="16.05" customHeight="1" x14ac:dyDescent="0.3">
      <c r="A63" s="69">
        <v>7</v>
      </c>
      <c r="B63" s="70" t="s">
        <v>268</v>
      </c>
      <c r="C63" s="71" t="s">
        <v>269</v>
      </c>
      <c r="D63" s="71" t="s">
        <v>270</v>
      </c>
      <c r="E63" s="70"/>
    </row>
    <row r="64" spans="1:5" ht="16.05" customHeight="1" x14ac:dyDescent="0.3">
      <c r="A64" s="75">
        <v>8</v>
      </c>
      <c r="B64" s="76" t="s">
        <v>271</v>
      </c>
      <c r="C64" s="77" t="s">
        <v>272</v>
      </c>
      <c r="D64" s="77" t="s">
        <v>273</v>
      </c>
      <c r="E64" s="76"/>
    </row>
    <row r="65" spans="1:5" ht="16.05" customHeight="1" x14ac:dyDescent="0.3">
      <c r="A65" s="69">
        <v>9</v>
      </c>
      <c r="B65" s="70" t="s">
        <v>274</v>
      </c>
      <c r="C65" s="71" t="s">
        <v>275</v>
      </c>
      <c r="D65" s="71" t="s">
        <v>276</v>
      </c>
      <c r="E65" s="70"/>
    </row>
    <row r="66" spans="1:5" ht="16.05" customHeight="1" x14ac:dyDescent="0.3">
      <c r="A66" s="75">
        <v>10</v>
      </c>
      <c r="B66" s="76" t="s">
        <v>277</v>
      </c>
      <c r="C66" s="77" t="s">
        <v>278</v>
      </c>
      <c r="D66" s="77" t="s">
        <v>279</v>
      </c>
      <c r="E66" s="76"/>
    </row>
    <row r="67" spans="1:5" ht="16.05" customHeight="1" x14ac:dyDescent="0.3">
      <c r="A67" s="69">
        <v>11</v>
      </c>
      <c r="B67" s="70" t="s">
        <v>280</v>
      </c>
      <c r="C67" s="71" t="s">
        <v>281</v>
      </c>
      <c r="D67" s="71" t="s">
        <v>282</v>
      </c>
      <c r="E67" s="70"/>
    </row>
    <row r="68" spans="1:5" ht="16.05" customHeight="1" x14ac:dyDescent="0.3">
      <c r="A68" s="81">
        <v>12</v>
      </c>
      <c r="B68" s="82" t="s">
        <v>283</v>
      </c>
      <c r="C68" s="83" t="s">
        <v>284</v>
      </c>
      <c r="D68" s="83" t="s">
        <v>285</v>
      </c>
      <c r="E68" s="84"/>
    </row>
    <row r="69" spans="1:5" ht="16.05" customHeight="1" x14ac:dyDescent="0.3">
      <c r="A69" s="69">
        <v>13</v>
      </c>
      <c r="B69" s="70" t="s">
        <v>286</v>
      </c>
      <c r="C69" s="71" t="s">
        <v>287</v>
      </c>
      <c r="D69" s="71" t="s">
        <v>288</v>
      </c>
      <c r="E69" s="70"/>
    </row>
    <row r="70" spans="1:5" ht="16.05" customHeight="1" x14ac:dyDescent="0.3">
      <c r="A70" s="75">
        <v>14</v>
      </c>
      <c r="B70" s="76" t="s">
        <v>289</v>
      </c>
      <c r="C70" s="77" t="s">
        <v>290</v>
      </c>
      <c r="D70" s="77" t="s">
        <v>291</v>
      </c>
      <c r="E70" s="76"/>
    </row>
    <row r="71" spans="1:5" ht="16.05" customHeight="1" x14ac:dyDescent="0.3">
      <c r="A71" s="69">
        <v>15</v>
      </c>
      <c r="B71" s="70" t="s">
        <v>292</v>
      </c>
      <c r="C71" s="71" t="s">
        <v>293</v>
      </c>
      <c r="D71" s="71" t="s">
        <v>294</v>
      </c>
      <c r="E71" s="70"/>
    </row>
    <row r="72" spans="1:5" ht="16.95" customHeight="1" x14ac:dyDescent="0.3">
      <c r="A72" s="78"/>
      <c r="B72" s="79" t="s">
        <v>295</v>
      </c>
      <c r="C72" s="80" t="s">
        <v>296</v>
      </c>
      <c r="D72" s="80" t="s">
        <v>297</v>
      </c>
      <c r="E72" s="79"/>
    </row>
    <row r="73" spans="1:5" ht="7.95" customHeight="1" x14ac:dyDescent="0.3"/>
    <row r="74" spans="1:5" ht="19.95" customHeight="1" x14ac:dyDescent="0.3">
      <c r="A74" s="158" t="s">
        <v>298</v>
      </c>
      <c r="B74" s="149"/>
      <c r="C74" s="149"/>
      <c r="D74" s="149"/>
      <c r="E74" s="149"/>
    </row>
    <row r="75" spans="1:5" ht="30" customHeight="1" x14ac:dyDescent="0.3">
      <c r="A75" s="74" t="s">
        <v>97</v>
      </c>
      <c r="B75" s="74" t="s">
        <v>2</v>
      </c>
      <c r="C75" s="74" t="s">
        <v>3</v>
      </c>
      <c r="D75" s="74" t="s">
        <v>4</v>
      </c>
      <c r="E75" s="74"/>
    </row>
    <row r="76" spans="1:5" ht="16.05" customHeight="1" x14ac:dyDescent="0.3">
      <c r="A76" s="69">
        <v>1</v>
      </c>
      <c r="B76" s="70" t="s">
        <v>299</v>
      </c>
      <c r="C76" s="71" t="s">
        <v>111</v>
      </c>
      <c r="D76" s="71" t="s">
        <v>111</v>
      </c>
      <c r="E76" s="70"/>
    </row>
    <row r="77" spans="1:5" ht="16.05" customHeight="1" x14ac:dyDescent="0.3">
      <c r="A77" s="75">
        <v>2</v>
      </c>
      <c r="B77" s="76" t="s">
        <v>300</v>
      </c>
      <c r="C77" s="77" t="s">
        <v>301</v>
      </c>
      <c r="D77" s="77" t="s">
        <v>302</v>
      </c>
      <c r="E77" s="76"/>
    </row>
    <row r="78" spans="1:5" ht="16.05" customHeight="1" x14ac:dyDescent="0.3">
      <c r="A78" s="69">
        <v>3</v>
      </c>
      <c r="B78" s="70" t="s">
        <v>303</v>
      </c>
      <c r="C78" s="71" t="s">
        <v>111</v>
      </c>
      <c r="D78" s="71" t="s">
        <v>111</v>
      </c>
      <c r="E78" s="70"/>
    </row>
    <row r="79" spans="1:5" ht="16.05" customHeight="1" x14ac:dyDescent="0.3">
      <c r="A79" s="75">
        <v>4</v>
      </c>
      <c r="B79" s="76" t="s">
        <v>304</v>
      </c>
      <c r="C79" s="77" t="s">
        <v>305</v>
      </c>
      <c r="D79" s="77" t="s">
        <v>306</v>
      </c>
      <c r="E79" s="76"/>
    </row>
    <row r="80" spans="1:5" ht="16.05" customHeight="1" x14ac:dyDescent="0.3">
      <c r="A80" s="69">
        <v>5</v>
      </c>
      <c r="B80" s="70" t="s">
        <v>161</v>
      </c>
      <c r="C80" s="71" t="s">
        <v>307</v>
      </c>
      <c r="D80" s="71" t="s">
        <v>308</v>
      </c>
      <c r="E80" s="70"/>
    </row>
    <row r="81" spans="1:5" ht="16.95" customHeight="1" x14ac:dyDescent="0.3">
      <c r="A81" s="78"/>
      <c r="B81" s="79" t="s">
        <v>309</v>
      </c>
      <c r="C81" s="80" t="s">
        <v>301</v>
      </c>
      <c r="D81" s="80" t="s">
        <v>302</v>
      </c>
      <c r="E81" s="79"/>
    </row>
    <row r="82" spans="1:5" ht="7.95" customHeight="1" x14ac:dyDescent="0.3"/>
    <row r="83" spans="1:5" ht="19.95" customHeight="1" x14ac:dyDescent="0.3">
      <c r="A83" s="158" t="s">
        <v>310</v>
      </c>
      <c r="B83" s="149"/>
      <c r="C83" s="149"/>
      <c r="D83" s="149"/>
      <c r="E83" s="149"/>
    </row>
    <row r="84" spans="1:5" ht="30" customHeight="1" x14ac:dyDescent="0.3">
      <c r="A84" s="74" t="s">
        <v>97</v>
      </c>
      <c r="B84" s="74" t="s">
        <v>2</v>
      </c>
      <c r="C84" s="74" t="s">
        <v>3</v>
      </c>
      <c r="D84" s="74" t="s">
        <v>4</v>
      </c>
      <c r="E84" s="74"/>
    </row>
    <row r="85" spans="1:5" ht="16.05" customHeight="1" x14ac:dyDescent="0.3">
      <c r="A85" s="69">
        <v>1</v>
      </c>
      <c r="B85" s="70" t="s">
        <v>311</v>
      </c>
      <c r="C85" s="71" t="s">
        <v>312</v>
      </c>
      <c r="D85" s="71" t="s">
        <v>313</v>
      </c>
      <c r="E85" s="70"/>
    </row>
    <row r="86" spans="1:5" ht="16.05" customHeight="1" x14ac:dyDescent="0.3">
      <c r="A86" s="75">
        <v>2</v>
      </c>
      <c r="B86" s="76" t="s">
        <v>314</v>
      </c>
      <c r="C86" s="77" t="s">
        <v>315</v>
      </c>
      <c r="D86" s="77" t="s">
        <v>111</v>
      </c>
      <c r="E86" s="76"/>
    </row>
    <row r="87" spans="1:5" ht="16.05" customHeight="1" x14ac:dyDescent="0.3">
      <c r="A87" s="69">
        <v>3</v>
      </c>
      <c r="B87" s="70" t="s">
        <v>316</v>
      </c>
      <c r="C87" s="71" t="s">
        <v>111</v>
      </c>
      <c r="D87" s="71" t="s">
        <v>111</v>
      </c>
      <c r="E87" s="70"/>
    </row>
    <row r="88" spans="1:5" ht="16.05" customHeight="1" x14ac:dyDescent="0.3">
      <c r="A88" s="75">
        <v>4</v>
      </c>
      <c r="B88" s="76" t="s">
        <v>317</v>
      </c>
      <c r="C88" s="77" t="s">
        <v>111</v>
      </c>
      <c r="D88" s="77" t="s">
        <v>111</v>
      </c>
      <c r="E88" s="76"/>
    </row>
    <row r="89" spans="1:5" ht="16.05" customHeight="1" x14ac:dyDescent="0.3">
      <c r="A89" s="69">
        <v>5</v>
      </c>
      <c r="B89" s="70" t="s">
        <v>318</v>
      </c>
      <c r="C89" s="71" t="s">
        <v>319</v>
      </c>
      <c r="D89" s="71" t="s">
        <v>320</v>
      </c>
      <c r="E89" s="70"/>
    </row>
    <row r="90" spans="1:5" ht="16.95" customHeight="1" x14ac:dyDescent="0.3">
      <c r="A90" s="78"/>
      <c r="B90" s="79" t="s">
        <v>321</v>
      </c>
      <c r="C90" s="80" t="s">
        <v>148</v>
      </c>
      <c r="D90" s="80" t="s">
        <v>146</v>
      </c>
      <c r="E90" s="79"/>
    </row>
    <row r="91" spans="1:5" ht="7.95" customHeight="1" x14ac:dyDescent="0.3"/>
    <row r="92" spans="1:5" ht="19.95" customHeight="1" x14ac:dyDescent="0.3">
      <c r="A92" s="158" t="s">
        <v>322</v>
      </c>
      <c r="B92" s="149"/>
      <c r="C92" s="149"/>
      <c r="D92" s="149"/>
      <c r="E92" s="149"/>
    </row>
    <row r="93" spans="1:5" ht="30" customHeight="1" x14ac:dyDescent="0.3">
      <c r="A93" s="74" t="s">
        <v>97</v>
      </c>
      <c r="B93" s="74" t="s">
        <v>2</v>
      </c>
      <c r="C93" s="74" t="s">
        <v>3</v>
      </c>
      <c r="D93" s="74" t="s">
        <v>4</v>
      </c>
      <c r="E93" s="74"/>
    </row>
    <row r="94" spans="1:5" ht="16.05" customHeight="1" x14ac:dyDescent="0.3">
      <c r="A94" s="69">
        <v>1</v>
      </c>
      <c r="B94" s="70" t="s">
        <v>323</v>
      </c>
      <c r="C94" s="71" t="s">
        <v>324</v>
      </c>
      <c r="D94" s="71" t="s">
        <v>325</v>
      </c>
      <c r="E94" s="70"/>
    </row>
    <row r="95" spans="1:5" ht="16.05" customHeight="1" x14ac:dyDescent="0.3">
      <c r="A95" s="75">
        <v>2</v>
      </c>
      <c r="B95" s="76" t="s">
        <v>326</v>
      </c>
      <c r="C95" s="77" t="s">
        <v>327</v>
      </c>
      <c r="D95" s="77" t="s">
        <v>328</v>
      </c>
      <c r="E95" s="76"/>
    </row>
    <row r="96" spans="1:5" ht="16.05" customHeight="1" x14ac:dyDescent="0.3">
      <c r="A96" s="69">
        <v>3</v>
      </c>
      <c r="B96" s="70" t="s">
        <v>329</v>
      </c>
      <c r="C96" s="71" t="s">
        <v>330</v>
      </c>
      <c r="D96" s="71" t="s">
        <v>331</v>
      </c>
      <c r="E96" s="70"/>
    </row>
    <row r="97" spans="1:5" ht="16.05" customHeight="1" x14ac:dyDescent="0.3">
      <c r="A97" s="75">
        <v>4</v>
      </c>
      <c r="B97" s="76" t="s">
        <v>332</v>
      </c>
      <c r="C97" s="77" t="s">
        <v>333</v>
      </c>
      <c r="D97" s="77" t="s">
        <v>334</v>
      </c>
      <c r="E97" s="76"/>
    </row>
    <row r="98" spans="1:5" ht="16.05" customHeight="1" x14ac:dyDescent="0.3">
      <c r="A98" s="69">
        <v>5</v>
      </c>
      <c r="B98" s="70" t="s">
        <v>335</v>
      </c>
      <c r="C98" s="71" t="s">
        <v>336</v>
      </c>
      <c r="D98" s="71" t="s">
        <v>337</v>
      </c>
      <c r="E98" s="70"/>
    </row>
    <row r="99" spans="1:5" ht="16.95" customHeight="1" x14ac:dyDescent="0.3">
      <c r="A99" s="78"/>
      <c r="B99" s="79" t="s">
        <v>338</v>
      </c>
      <c r="C99" s="80" t="s">
        <v>339</v>
      </c>
      <c r="D99" s="80" t="s">
        <v>340</v>
      </c>
      <c r="E99" s="79"/>
    </row>
    <row r="100" spans="1:5" ht="7.95" customHeight="1" x14ac:dyDescent="0.3"/>
    <row r="101" spans="1:5" ht="19.95" customHeight="1" x14ac:dyDescent="0.3">
      <c r="A101" s="158" t="s">
        <v>341</v>
      </c>
      <c r="B101" s="149"/>
      <c r="C101" s="149"/>
      <c r="D101" s="149"/>
      <c r="E101" s="149"/>
    </row>
    <row r="102" spans="1:5" ht="30" customHeight="1" x14ac:dyDescent="0.3">
      <c r="A102" s="74" t="s">
        <v>97</v>
      </c>
      <c r="B102" s="74" t="s">
        <v>2</v>
      </c>
      <c r="C102" s="74" t="s">
        <v>3</v>
      </c>
      <c r="D102" s="74" t="s">
        <v>4</v>
      </c>
      <c r="E102" s="74"/>
    </row>
    <row r="103" spans="1:5" ht="16.05" customHeight="1" x14ac:dyDescent="0.3">
      <c r="A103" s="69">
        <v>1</v>
      </c>
      <c r="B103" s="70" t="s">
        <v>342</v>
      </c>
      <c r="C103" s="71" t="s">
        <v>343</v>
      </c>
      <c r="D103" s="71" t="s">
        <v>344</v>
      </c>
      <c r="E103" s="70"/>
    </row>
    <row r="104" spans="1:5" ht="16.05" customHeight="1" x14ac:dyDescent="0.3">
      <c r="A104" s="75">
        <v>2</v>
      </c>
      <c r="B104" s="76" t="s">
        <v>345</v>
      </c>
      <c r="C104" s="77" t="s">
        <v>346</v>
      </c>
      <c r="D104" s="77" t="s">
        <v>346</v>
      </c>
      <c r="E104" s="76"/>
    </row>
    <row r="105" spans="1:5" ht="16.05" customHeight="1" x14ac:dyDescent="0.3">
      <c r="A105" s="69">
        <v>3</v>
      </c>
      <c r="B105" s="70" t="s">
        <v>347</v>
      </c>
      <c r="C105" s="71" t="s">
        <v>111</v>
      </c>
      <c r="D105" s="71" t="s">
        <v>111</v>
      </c>
      <c r="E105" s="70"/>
    </row>
    <row r="106" spans="1:5" ht="16.05" customHeight="1" x14ac:dyDescent="0.3">
      <c r="A106" s="81">
        <v>4</v>
      </c>
      <c r="B106" s="82" t="s">
        <v>172</v>
      </c>
      <c r="C106" s="83" t="s">
        <v>348</v>
      </c>
      <c r="D106" s="83" t="s">
        <v>349</v>
      </c>
      <c r="E106" s="84"/>
    </row>
    <row r="107" spans="1:5" ht="16.05" customHeight="1" x14ac:dyDescent="0.3">
      <c r="A107" s="69">
        <v>5</v>
      </c>
      <c r="B107" s="70" t="s">
        <v>161</v>
      </c>
      <c r="C107" s="71" t="s">
        <v>176</v>
      </c>
      <c r="D107" s="71" t="s">
        <v>176</v>
      </c>
      <c r="E107" s="70"/>
    </row>
    <row r="108" spans="1:5" ht="16.95" customHeight="1" x14ac:dyDescent="0.3">
      <c r="A108" s="78"/>
      <c r="B108" s="79" t="s">
        <v>350</v>
      </c>
      <c r="C108" s="80" t="s">
        <v>351</v>
      </c>
      <c r="D108" s="80" t="s">
        <v>352</v>
      </c>
      <c r="E108" s="79"/>
    </row>
    <row r="109" spans="1:5" ht="7.95" customHeight="1" x14ac:dyDescent="0.3"/>
    <row r="110" spans="1:5" ht="19.95" customHeight="1" x14ac:dyDescent="0.3">
      <c r="A110" s="158" t="s">
        <v>353</v>
      </c>
      <c r="B110" s="149"/>
      <c r="C110" s="149"/>
      <c r="D110" s="149"/>
      <c r="E110" s="149"/>
    </row>
    <row r="111" spans="1:5" ht="30" customHeight="1" x14ac:dyDescent="0.3">
      <c r="A111" s="74" t="s">
        <v>97</v>
      </c>
      <c r="B111" s="74" t="s">
        <v>2</v>
      </c>
      <c r="C111" s="74" t="s">
        <v>3</v>
      </c>
      <c r="D111" s="74" t="s">
        <v>4</v>
      </c>
      <c r="E111" s="74"/>
    </row>
    <row r="112" spans="1:5" ht="16.05" customHeight="1" x14ac:dyDescent="0.3">
      <c r="A112" s="69">
        <v>1</v>
      </c>
      <c r="B112" s="70" t="s">
        <v>181</v>
      </c>
      <c r="C112" s="71" t="s">
        <v>354</v>
      </c>
      <c r="D112" s="71" t="s">
        <v>355</v>
      </c>
      <c r="E112" s="70"/>
    </row>
    <row r="113" spans="1:5" ht="16.05" customHeight="1" x14ac:dyDescent="0.3">
      <c r="A113" s="75">
        <v>2</v>
      </c>
      <c r="B113" s="76" t="s">
        <v>189</v>
      </c>
      <c r="C113" s="77" t="s">
        <v>356</v>
      </c>
      <c r="D113" s="77" t="s">
        <v>357</v>
      </c>
      <c r="E113" s="76"/>
    </row>
    <row r="114" spans="1:5" ht="16.05" customHeight="1" x14ac:dyDescent="0.3">
      <c r="A114" s="69">
        <v>3</v>
      </c>
      <c r="B114" s="70" t="s">
        <v>197</v>
      </c>
      <c r="C114" s="71" t="s">
        <v>358</v>
      </c>
      <c r="D114" s="71" t="s">
        <v>359</v>
      </c>
      <c r="E114" s="70"/>
    </row>
    <row r="115" spans="1:5" ht="16.05" customHeight="1" x14ac:dyDescent="0.3">
      <c r="A115" s="75">
        <v>4</v>
      </c>
      <c r="B115" s="76" t="s">
        <v>360</v>
      </c>
      <c r="C115" s="77" t="s">
        <v>361</v>
      </c>
      <c r="D115" s="77" t="s">
        <v>362</v>
      </c>
      <c r="E115" s="76"/>
    </row>
    <row r="116" spans="1:5" ht="16.05" customHeight="1" x14ac:dyDescent="0.3">
      <c r="A116" s="69">
        <v>5</v>
      </c>
      <c r="B116" s="70" t="s">
        <v>363</v>
      </c>
      <c r="C116" s="71" t="s">
        <v>364</v>
      </c>
      <c r="D116" s="71" t="s">
        <v>365</v>
      </c>
      <c r="E116" s="70"/>
    </row>
    <row r="117" spans="1:5" ht="16.05" customHeight="1" x14ac:dyDescent="0.3">
      <c r="A117" s="75">
        <v>6</v>
      </c>
      <c r="B117" s="76" t="s">
        <v>366</v>
      </c>
      <c r="C117" s="77" t="s">
        <v>367</v>
      </c>
      <c r="D117" s="77" t="s">
        <v>368</v>
      </c>
      <c r="E117" s="76"/>
    </row>
    <row r="118" spans="1:5" ht="16.05" customHeight="1" x14ac:dyDescent="0.3">
      <c r="A118" s="69">
        <v>7</v>
      </c>
      <c r="B118" s="70" t="s">
        <v>369</v>
      </c>
      <c r="C118" s="71" t="s">
        <v>370</v>
      </c>
      <c r="D118" s="71" t="s">
        <v>371</v>
      </c>
      <c r="E118" s="70"/>
    </row>
    <row r="119" spans="1:5" ht="16.05" customHeight="1" x14ac:dyDescent="0.3">
      <c r="A119" s="75">
        <v>8</v>
      </c>
      <c r="B119" s="76" t="s">
        <v>372</v>
      </c>
      <c r="C119" s="77" t="s">
        <v>373</v>
      </c>
      <c r="D119" s="77" t="s">
        <v>374</v>
      </c>
      <c r="E119" s="76"/>
    </row>
    <row r="120" spans="1:5" ht="16.05" customHeight="1" x14ac:dyDescent="0.3">
      <c r="A120" s="81">
        <v>9</v>
      </c>
      <c r="B120" s="82" t="s">
        <v>375</v>
      </c>
      <c r="C120" s="83" t="s">
        <v>376</v>
      </c>
      <c r="D120" s="83" t="s">
        <v>377</v>
      </c>
      <c r="E120" s="84"/>
    </row>
    <row r="121" spans="1:5" ht="16.05" customHeight="1" x14ac:dyDescent="0.3">
      <c r="A121" s="75">
        <v>10</v>
      </c>
      <c r="B121" s="76" t="s">
        <v>206</v>
      </c>
      <c r="C121" s="77" t="s">
        <v>378</v>
      </c>
      <c r="D121" s="77" t="s">
        <v>379</v>
      </c>
      <c r="E121" s="76"/>
    </row>
    <row r="122" spans="1:5" ht="16.95" customHeight="1" x14ac:dyDescent="0.3">
      <c r="A122" s="78"/>
      <c r="B122" s="79" t="s">
        <v>380</v>
      </c>
      <c r="C122" s="80" t="s">
        <v>381</v>
      </c>
      <c r="D122" s="80" t="s">
        <v>382</v>
      </c>
      <c r="E122" s="79"/>
    </row>
    <row r="123" spans="1:5" ht="7.95" customHeight="1" x14ac:dyDescent="0.3"/>
    <row r="124" spans="1:5" ht="19.95" customHeight="1" x14ac:dyDescent="0.3">
      <c r="A124" s="158" t="s">
        <v>383</v>
      </c>
      <c r="B124" s="149"/>
      <c r="C124" s="149"/>
      <c r="D124" s="149"/>
      <c r="E124" s="149"/>
    </row>
    <row r="125" spans="1:5" ht="30" customHeight="1" x14ac:dyDescent="0.3">
      <c r="A125" s="74" t="s">
        <v>97</v>
      </c>
      <c r="B125" s="74" t="s">
        <v>2</v>
      </c>
      <c r="C125" s="74" t="s">
        <v>3</v>
      </c>
      <c r="D125" s="74" t="s">
        <v>4</v>
      </c>
      <c r="E125" s="74"/>
    </row>
    <row r="126" spans="1:5" ht="16.05" customHeight="1" x14ac:dyDescent="0.3">
      <c r="A126" s="69">
        <v>1</v>
      </c>
      <c r="B126" s="70" t="s">
        <v>384</v>
      </c>
      <c r="C126" s="71" t="s">
        <v>385</v>
      </c>
      <c r="D126" s="71" t="s">
        <v>386</v>
      </c>
      <c r="E126" s="70"/>
    </row>
    <row r="127" spans="1:5" ht="16.05" customHeight="1" x14ac:dyDescent="0.3">
      <c r="A127" s="75">
        <v>2</v>
      </c>
      <c r="B127" s="76" t="s">
        <v>387</v>
      </c>
      <c r="C127" s="77" t="s">
        <v>388</v>
      </c>
      <c r="D127" s="77" t="s">
        <v>389</v>
      </c>
      <c r="E127" s="76"/>
    </row>
    <row r="128" spans="1:5" ht="16.05" customHeight="1" x14ac:dyDescent="0.3">
      <c r="A128" s="69">
        <v>3</v>
      </c>
      <c r="B128" s="70" t="s">
        <v>390</v>
      </c>
      <c r="C128" s="71" t="s">
        <v>391</v>
      </c>
      <c r="D128" s="71" t="s">
        <v>392</v>
      </c>
      <c r="E128" s="70"/>
    </row>
    <row r="129" spans="1:5" ht="16.05" customHeight="1" x14ac:dyDescent="0.3">
      <c r="A129" s="75">
        <v>4</v>
      </c>
      <c r="B129" s="76" t="s">
        <v>393</v>
      </c>
      <c r="C129" s="77" t="s">
        <v>394</v>
      </c>
      <c r="D129" s="77" t="s">
        <v>394</v>
      </c>
      <c r="E129" s="76"/>
    </row>
    <row r="130" spans="1:5" ht="16.05" customHeight="1" x14ac:dyDescent="0.3">
      <c r="A130" s="69">
        <v>5</v>
      </c>
      <c r="B130" s="70" t="s">
        <v>395</v>
      </c>
      <c r="C130" s="71" t="s">
        <v>396</v>
      </c>
      <c r="D130" s="71" t="s">
        <v>397</v>
      </c>
      <c r="E130" s="70"/>
    </row>
    <row r="131" spans="1:5" ht="16.05" customHeight="1" x14ac:dyDescent="0.3">
      <c r="A131" s="75">
        <v>6</v>
      </c>
      <c r="B131" s="76" t="s">
        <v>398</v>
      </c>
      <c r="C131" s="77" t="s">
        <v>399</v>
      </c>
      <c r="D131" s="77" t="s">
        <v>400</v>
      </c>
      <c r="E131" s="76"/>
    </row>
    <row r="132" spans="1:5" ht="16.05" customHeight="1" x14ac:dyDescent="0.3">
      <c r="A132" s="69">
        <v>7</v>
      </c>
      <c r="B132" s="70" t="s">
        <v>401</v>
      </c>
      <c r="C132" s="71" t="s">
        <v>402</v>
      </c>
      <c r="D132" s="71" t="s">
        <v>403</v>
      </c>
      <c r="E132" s="70"/>
    </row>
    <row r="133" spans="1:5" ht="16.05" customHeight="1" x14ac:dyDescent="0.3">
      <c r="A133" s="75">
        <v>8</v>
      </c>
      <c r="B133" s="76" t="s">
        <v>404</v>
      </c>
      <c r="C133" s="77" t="s">
        <v>405</v>
      </c>
      <c r="D133" s="77" t="s">
        <v>406</v>
      </c>
      <c r="E133" s="76"/>
    </row>
    <row r="134" spans="1:5" ht="16.05" customHeight="1" x14ac:dyDescent="0.3">
      <c r="A134" s="69">
        <v>9</v>
      </c>
      <c r="B134" s="70" t="s">
        <v>407</v>
      </c>
      <c r="C134" s="71" t="s">
        <v>408</v>
      </c>
      <c r="D134" s="71" t="s">
        <v>409</v>
      </c>
      <c r="E134" s="70"/>
    </row>
    <row r="135" spans="1:5" ht="16.05" customHeight="1" x14ac:dyDescent="0.3">
      <c r="A135" s="75">
        <v>10</v>
      </c>
      <c r="B135" s="76" t="s">
        <v>410</v>
      </c>
      <c r="C135" s="77" t="s">
        <v>411</v>
      </c>
      <c r="D135" s="77" t="s">
        <v>412</v>
      </c>
      <c r="E135" s="76"/>
    </row>
    <row r="136" spans="1:5" ht="16.05" customHeight="1" x14ac:dyDescent="0.3">
      <c r="A136" s="69">
        <v>11</v>
      </c>
      <c r="B136" s="70" t="s">
        <v>232</v>
      </c>
      <c r="C136" s="71" t="s">
        <v>413</v>
      </c>
      <c r="D136" s="71" t="s">
        <v>414</v>
      </c>
      <c r="E136" s="70"/>
    </row>
    <row r="137" spans="1:5" ht="16.05" customHeight="1" x14ac:dyDescent="0.3">
      <c r="A137" s="75">
        <v>12</v>
      </c>
      <c r="B137" s="76" t="s">
        <v>189</v>
      </c>
      <c r="C137" s="77" t="s">
        <v>415</v>
      </c>
      <c r="D137" s="77" t="s">
        <v>416</v>
      </c>
      <c r="E137" s="76"/>
    </row>
    <row r="138" spans="1:5" ht="16.05" customHeight="1" x14ac:dyDescent="0.3">
      <c r="A138" s="69">
        <v>13</v>
      </c>
      <c r="B138" s="70" t="s">
        <v>417</v>
      </c>
      <c r="C138" s="71" t="s">
        <v>418</v>
      </c>
      <c r="D138" s="71" t="s">
        <v>419</v>
      </c>
      <c r="E138" s="70"/>
    </row>
    <row r="139" spans="1:5" ht="16.05" customHeight="1" x14ac:dyDescent="0.3">
      <c r="A139" s="81">
        <v>14</v>
      </c>
      <c r="B139" s="82" t="s">
        <v>172</v>
      </c>
      <c r="C139" s="83" t="s">
        <v>420</v>
      </c>
      <c r="D139" s="83" t="s">
        <v>421</v>
      </c>
      <c r="E139" s="84"/>
    </row>
    <row r="140" spans="1:5" ht="16.05" customHeight="1" x14ac:dyDescent="0.3">
      <c r="A140" s="69">
        <v>15</v>
      </c>
      <c r="B140" s="70" t="s">
        <v>243</v>
      </c>
      <c r="C140" s="71" t="s">
        <v>422</v>
      </c>
      <c r="D140" s="71" t="s">
        <v>423</v>
      </c>
      <c r="E140" s="70"/>
    </row>
    <row r="141" spans="1:5" ht="16.95" customHeight="1" x14ac:dyDescent="0.3">
      <c r="A141" s="78"/>
      <c r="B141" s="79" t="s">
        <v>424</v>
      </c>
      <c r="C141" s="80" t="s">
        <v>425</v>
      </c>
      <c r="D141" s="80" t="s">
        <v>426</v>
      </c>
      <c r="E141" s="79"/>
    </row>
    <row r="142" spans="1:5" ht="7.95" customHeight="1" x14ac:dyDescent="0.3"/>
    <row r="143" spans="1:5" ht="19.95" customHeight="1" x14ac:dyDescent="0.3">
      <c r="A143" s="158" t="s">
        <v>427</v>
      </c>
      <c r="B143" s="149"/>
      <c r="C143" s="149"/>
      <c r="D143" s="149"/>
      <c r="E143" s="149"/>
    </row>
    <row r="144" spans="1:5" ht="30" customHeight="1" x14ac:dyDescent="0.3">
      <c r="A144" s="74" t="s">
        <v>97</v>
      </c>
      <c r="B144" s="74" t="s">
        <v>2</v>
      </c>
      <c r="C144" s="74" t="s">
        <v>3</v>
      </c>
      <c r="D144" s="74" t="s">
        <v>4</v>
      </c>
      <c r="E144" s="74"/>
    </row>
    <row r="145" spans="1:5" ht="16.05" customHeight="1" x14ac:dyDescent="0.3">
      <c r="A145" s="69">
        <v>1</v>
      </c>
      <c r="B145" s="70" t="s">
        <v>428</v>
      </c>
      <c r="C145" s="90">
        <v>3.9</v>
      </c>
      <c r="D145" s="90">
        <v>15.11</v>
      </c>
      <c r="E145" s="70"/>
    </row>
    <row r="146" spans="1:5" ht="16.95" customHeight="1" x14ac:dyDescent="0.3">
      <c r="A146" s="78"/>
      <c r="B146" s="79" t="s">
        <v>431</v>
      </c>
      <c r="C146" s="91">
        <v>3.9</v>
      </c>
      <c r="D146" s="91">
        <v>15.11</v>
      </c>
      <c r="E146" s="79"/>
    </row>
    <row r="147" spans="1:5" ht="7.95" customHeight="1" x14ac:dyDescent="0.3"/>
    <row r="148" spans="1:5" ht="19.95" customHeight="1" x14ac:dyDescent="0.3">
      <c r="A148" s="158" t="s">
        <v>432</v>
      </c>
      <c r="B148" s="149"/>
      <c r="C148" s="149"/>
      <c r="D148" s="149"/>
      <c r="E148" s="149"/>
    </row>
    <row r="149" spans="1:5" ht="30" customHeight="1" x14ac:dyDescent="0.3">
      <c r="A149" s="74" t="s">
        <v>97</v>
      </c>
      <c r="B149" s="74" t="s">
        <v>2</v>
      </c>
      <c r="C149" s="74" t="s">
        <v>3</v>
      </c>
      <c r="D149" s="74" t="s">
        <v>4</v>
      </c>
      <c r="E149" s="74"/>
    </row>
    <row r="150" spans="1:5" ht="16.05" customHeight="1" x14ac:dyDescent="0.3">
      <c r="A150" s="69">
        <v>1</v>
      </c>
      <c r="B150" s="70" t="s">
        <v>433</v>
      </c>
      <c r="C150" s="90">
        <v>5000</v>
      </c>
      <c r="D150" s="90">
        <v>5000</v>
      </c>
      <c r="E150" s="70"/>
    </row>
    <row r="151" spans="1:5" ht="16.05" customHeight="1" x14ac:dyDescent="0.3">
      <c r="A151" s="75">
        <v>2</v>
      </c>
      <c r="B151" s="76" t="s">
        <v>434</v>
      </c>
      <c r="C151" s="89">
        <v>4130.42</v>
      </c>
      <c r="D151" s="89">
        <v>4130.42</v>
      </c>
      <c r="E151" s="76"/>
    </row>
    <row r="152" spans="1:5" ht="16.05" customHeight="1" x14ac:dyDescent="0.3">
      <c r="A152" s="69">
        <v>3</v>
      </c>
      <c r="B152" s="70" t="s">
        <v>435</v>
      </c>
      <c r="C152" s="90">
        <v>0.04</v>
      </c>
      <c r="D152" s="71" t="s">
        <v>111</v>
      </c>
      <c r="E152" s="70"/>
    </row>
    <row r="153" spans="1:5" ht="16.05" customHeight="1" x14ac:dyDescent="0.3">
      <c r="A153" s="75">
        <v>4</v>
      </c>
      <c r="B153" s="76" t="s">
        <v>436</v>
      </c>
      <c r="C153" s="89">
        <v>4130.46</v>
      </c>
      <c r="D153" s="89">
        <v>4130.42</v>
      </c>
      <c r="E153" s="76"/>
    </row>
    <row r="154" spans="1:5" ht="16.05" customHeight="1" x14ac:dyDescent="0.3">
      <c r="A154" s="69">
        <v>5</v>
      </c>
      <c r="B154" s="70" t="s">
        <v>437</v>
      </c>
      <c r="C154" s="90">
        <v>0.11</v>
      </c>
      <c r="D154" s="90">
        <v>0.11</v>
      </c>
      <c r="E154" s="70"/>
    </row>
    <row r="155" spans="1:5" ht="16.05" customHeight="1" x14ac:dyDescent="0.3">
      <c r="A155" s="75">
        <v>6</v>
      </c>
      <c r="B155" s="76" t="s">
        <v>438</v>
      </c>
      <c r="C155" s="89">
        <v>-0.04</v>
      </c>
      <c r="D155" s="77" t="s">
        <v>111</v>
      </c>
      <c r="E155" s="76"/>
    </row>
    <row r="156" spans="1:5" ht="16.05" customHeight="1" x14ac:dyDescent="0.3">
      <c r="A156" s="69">
        <v>7</v>
      </c>
      <c r="B156" s="70" t="s">
        <v>439</v>
      </c>
      <c r="C156" s="90">
        <v>7.0000000000000007E-2</v>
      </c>
      <c r="D156" s="90">
        <v>0.11</v>
      </c>
      <c r="E156" s="70"/>
    </row>
    <row r="157" spans="1:5" ht="16.95" customHeight="1" x14ac:dyDescent="0.3">
      <c r="A157" s="78"/>
      <c r="B157" s="79" t="s">
        <v>440</v>
      </c>
      <c r="C157" s="91">
        <v>4130.53</v>
      </c>
      <c r="D157" s="91">
        <v>4130.53</v>
      </c>
      <c r="E157" s="79"/>
    </row>
    <row r="158" spans="1:5" ht="7.95" customHeight="1" x14ac:dyDescent="0.3"/>
    <row r="159" spans="1:5" ht="19.95" customHeight="1" x14ac:dyDescent="0.3">
      <c r="A159" s="158" t="s">
        <v>441</v>
      </c>
      <c r="B159" s="149"/>
      <c r="C159" s="149"/>
      <c r="D159" s="149"/>
      <c r="E159" s="149"/>
    </row>
    <row r="160" spans="1:5" ht="30" customHeight="1" x14ac:dyDescent="0.3">
      <c r="A160" s="74" t="s">
        <v>97</v>
      </c>
      <c r="B160" s="74" t="s">
        <v>2</v>
      </c>
      <c r="C160" s="74" t="s">
        <v>3</v>
      </c>
      <c r="D160" s="74" t="s">
        <v>4</v>
      </c>
      <c r="E160" s="74"/>
    </row>
    <row r="161" spans="1:5" ht="16.05" customHeight="1" x14ac:dyDescent="0.3">
      <c r="A161" s="69">
        <v>1</v>
      </c>
      <c r="B161" s="70" t="s">
        <v>442</v>
      </c>
      <c r="C161" s="90">
        <v>1.75</v>
      </c>
      <c r="D161" s="90">
        <v>1.75</v>
      </c>
      <c r="E161" s="70"/>
    </row>
    <row r="162" spans="1:5" ht="16.05" customHeight="1" x14ac:dyDescent="0.3">
      <c r="A162" s="75">
        <v>2</v>
      </c>
      <c r="B162" s="76" t="s">
        <v>443</v>
      </c>
      <c r="C162" s="89">
        <v>1.75</v>
      </c>
      <c r="D162" s="89">
        <v>1.75</v>
      </c>
      <c r="E162" s="76"/>
    </row>
    <row r="163" spans="1:5" ht="16.05" customHeight="1" x14ac:dyDescent="0.3">
      <c r="A163" s="69">
        <v>3</v>
      </c>
      <c r="B163" s="70" t="s">
        <v>444</v>
      </c>
      <c r="C163" s="90">
        <v>235.1</v>
      </c>
      <c r="D163" s="90">
        <v>235.1</v>
      </c>
      <c r="E163" s="70"/>
    </row>
    <row r="164" spans="1:5" ht="16.05" customHeight="1" x14ac:dyDescent="0.3">
      <c r="A164" s="75">
        <v>4</v>
      </c>
      <c r="B164" s="76" t="s">
        <v>445</v>
      </c>
      <c r="C164" s="89">
        <v>123.78</v>
      </c>
      <c r="D164" s="89">
        <v>373.71</v>
      </c>
      <c r="E164" s="76"/>
    </row>
    <row r="165" spans="1:5" ht="16.05" customHeight="1" x14ac:dyDescent="0.3">
      <c r="A165" s="69">
        <v>5</v>
      </c>
      <c r="B165" s="70" t="s">
        <v>446</v>
      </c>
      <c r="C165" s="90">
        <v>-121.72</v>
      </c>
      <c r="D165" s="90">
        <v>-249.93</v>
      </c>
      <c r="E165" s="70"/>
    </row>
    <row r="166" spans="1:5" ht="16.05" customHeight="1" x14ac:dyDescent="0.3">
      <c r="A166" s="75">
        <v>6</v>
      </c>
      <c r="B166" s="76" t="s">
        <v>447</v>
      </c>
      <c r="C166" s="89">
        <v>2.06</v>
      </c>
      <c r="D166" s="89">
        <v>123.78</v>
      </c>
      <c r="E166" s="76"/>
    </row>
    <row r="167" spans="1:5" ht="16.05" customHeight="1" x14ac:dyDescent="0.3">
      <c r="A167" s="69">
        <v>7</v>
      </c>
      <c r="B167" s="70" t="s">
        <v>448</v>
      </c>
      <c r="C167" s="90">
        <v>5095.13</v>
      </c>
      <c r="D167" s="90">
        <v>5095.13</v>
      </c>
      <c r="E167" s="70"/>
    </row>
    <row r="168" spans="1:5" ht="16.05" customHeight="1" x14ac:dyDescent="0.3">
      <c r="A168" s="75">
        <v>8</v>
      </c>
      <c r="B168" s="76" t="s">
        <v>449</v>
      </c>
      <c r="C168" s="89">
        <v>44334.78</v>
      </c>
      <c r="D168" s="89">
        <v>42150.48</v>
      </c>
      <c r="E168" s="76"/>
    </row>
    <row r="169" spans="1:5" ht="16.05" customHeight="1" x14ac:dyDescent="0.3">
      <c r="A169" s="69">
        <v>9</v>
      </c>
      <c r="B169" s="70" t="s">
        <v>450</v>
      </c>
      <c r="C169" s="90">
        <v>2147.96</v>
      </c>
      <c r="D169" s="90">
        <v>2733.11</v>
      </c>
      <c r="E169" s="70"/>
    </row>
    <row r="170" spans="1:5" ht="16.05" customHeight="1" x14ac:dyDescent="0.3">
      <c r="A170" s="75">
        <v>10</v>
      </c>
      <c r="B170" s="76" t="s">
        <v>451</v>
      </c>
      <c r="C170" s="89">
        <v>-294.32</v>
      </c>
      <c r="D170" s="89">
        <v>-179.16</v>
      </c>
      <c r="E170" s="76"/>
    </row>
    <row r="171" spans="1:5" ht="16.05" customHeight="1" x14ac:dyDescent="0.3">
      <c r="A171" s="69">
        <v>11</v>
      </c>
      <c r="B171" s="70" t="s">
        <v>452</v>
      </c>
      <c r="C171" s="90">
        <v>121.72</v>
      </c>
      <c r="D171" s="90">
        <v>249.93</v>
      </c>
      <c r="E171" s="70"/>
    </row>
    <row r="172" spans="1:5" ht="16.05" customHeight="1" x14ac:dyDescent="0.3">
      <c r="A172" s="75">
        <v>12</v>
      </c>
      <c r="B172" s="76" t="s">
        <v>453</v>
      </c>
      <c r="C172" s="89">
        <v>32.26</v>
      </c>
      <c r="D172" s="77" t="s">
        <v>111</v>
      </c>
      <c r="E172" s="76"/>
    </row>
    <row r="173" spans="1:5" ht="16.05" customHeight="1" x14ac:dyDescent="0.3">
      <c r="A173" s="69">
        <v>13</v>
      </c>
      <c r="B173" s="70" t="s">
        <v>454</v>
      </c>
      <c r="C173" s="90">
        <v>-413.05</v>
      </c>
      <c r="D173" s="90">
        <v>-206.53</v>
      </c>
      <c r="E173" s="70"/>
    </row>
    <row r="174" spans="1:5" ht="16.05" customHeight="1" x14ac:dyDescent="0.3">
      <c r="A174" s="75">
        <v>14</v>
      </c>
      <c r="B174" s="76" t="s">
        <v>455</v>
      </c>
      <c r="C174" s="77" t="s">
        <v>111</v>
      </c>
      <c r="D174" s="89">
        <v>-413.05</v>
      </c>
      <c r="E174" s="76"/>
    </row>
    <row r="175" spans="1:5" ht="16.05" customHeight="1" x14ac:dyDescent="0.3">
      <c r="A175" s="69">
        <v>15</v>
      </c>
      <c r="B175" s="70" t="s">
        <v>456</v>
      </c>
      <c r="C175" s="90">
        <v>45929.35</v>
      </c>
      <c r="D175" s="90">
        <v>44334.78</v>
      </c>
      <c r="E175" s="70"/>
    </row>
    <row r="176" spans="1:5" ht="16.05" customHeight="1" x14ac:dyDescent="0.3">
      <c r="A176" s="75">
        <v>16</v>
      </c>
      <c r="B176" s="76" t="s">
        <v>457</v>
      </c>
      <c r="C176" s="89">
        <v>209.47</v>
      </c>
      <c r="D176" s="89">
        <v>152.47999999999999</v>
      </c>
      <c r="E176" s="76"/>
    </row>
    <row r="177" spans="1:5" ht="16.05" customHeight="1" x14ac:dyDescent="0.3">
      <c r="A177" s="69">
        <v>17</v>
      </c>
      <c r="B177" s="70" t="s">
        <v>458</v>
      </c>
      <c r="C177" s="90">
        <v>61.87</v>
      </c>
      <c r="D177" s="90">
        <v>73.900000000000006</v>
      </c>
      <c r="E177" s="70"/>
    </row>
    <row r="178" spans="1:5" ht="16.05" customHeight="1" x14ac:dyDescent="0.3">
      <c r="A178" s="75">
        <v>18</v>
      </c>
      <c r="B178" s="76" t="s">
        <v>459</v>
      </c>
      <c r="C178" s="89">
        <v>-8.85</v>
      </c>
      <c r="D178" s="89">
        <v>-16.91</v>
      </c>
      <c r="E178" s="76"/>
    </row>
    <row r="179" spans="1:5" ht="16.05" customHeight="1" x14ac:dyDescent="0.3">
      <c r="A179" s="69">
        <v>19</v>
      </c>
      <c r="B179" s="70" t="s">
        <v>460</v>
      </c>
      <c r="C179" s="90">
        <v>262.49</v>
      </c>
      <c r="D179" s="90">
        <v>209.47</v>
      </c>
      <c r="E179" s="70"/>
    </row>
    <row r="180" spans="1:5" ht="16.95" customHeight="1" x14ac:dyDescent="0.3">
      <c r="A180" s="78"/>
      <c r="B180" s="79" t="s">
        <v>461</v>
      </c>
      <c r="C180" s="80" t="s">
        <v>462</v>
      </c>
      <c r="D180" s="80" t="s">
        <v>463</v>
      </c>
      <c r="E180" s="79"/>
    </row>
    <row r="181" spans="1:5" ht="7.95" customHeight="1" x14ac:dyDescent="0.3"/>
    <row r="182" spans="1:5" ht="19.95" customHeight="1" x14ac:dyDescent="0.3">
      <c r="A182" s="158" t="s">
        <v>464</v>
      </c>
      <c r="B182" s="149"/>
      <c r="C182" s="149"/>
      <c r="D182" s="149"/>
      <c r="E182" s="149"/>
    </row>
    <row r="183" spans="1:5" ht="30" customHeight="1" x14ac:dyDescent="0.3">
      <c r="A183" s="74" t="s">
        <v>97</v>
      </c>
      <c r="B183" s="74" t="s">
        <v>2</v>
      </c>
      <c r="C183" s="74" t="s">
        <v>3</v>
      </c>
      <c r="D183" s="74" t="s">
        <v>4</v>
      </c>
    </row>
    <row r="184" spans="1:5" ht="16.05" customHeight="1" x14ac:dyDescent="0.3">
      <c r="A184" s="159" t="s">
        <v>465</v>
      </c>
      <c r="B184" s="149"/>
      <c r="C184" s="149"/>
      <c r="D184" s="149"/>
      <c r="E184" s="149"/>
    </row>
    <row r="185" spans="1:5" ht="16.05" customHeight="1" x14ac:dyDescent="0.3">
      <c r="A185" s="75">
        <v>1</v>
      </c>
      <c r="B185" s="76" t="s">
        <v>466</v>
      </c>
      <c r="C185" s="77"/>
      <c r="D185" s="77"/>
      <c r="E185" s="76"/>
    </row>
    <row r="186" spans="1:5" ht="16.05" customHeight="1" x14ac:dyDescent="0.3">
      <c r="A186" s="69">
        <v>2</v>
      </c>
      <c r="B186" s="70" t="s">
        <v>467</v>
      </c>
      <c r="C186" s="71" t="s">
        <v>111</v>
      </c>
      <c r="D186" s="90">
        <v>14</v>
      </c>
      <c r="E186" s="70"/>
    </row>
    <row r="187" spans="1:5" ht="16.05" customHeight="1" x14ac:dyDescent="0.3">
      <c r="A187" s="75">
        <v>3</v>
      </c>
      <c r="B187" s="76" t="s">
        <v>469</v>
      </c>
      <c r="C187" s="77" t="s">
        <v>111</v>
      </c>
      <c r="D187" s="89">
        <v>14</v>
      </c>
      <c r="E187" s="76"/>
    </row>
    <row r="188" spans="1:5" ht="16.05" customHeight="1" x14ac:dyDescent="0.3">
      <c r="A188" s="69">
        <v>4</v>
      </c>
      <c r="B188" s="70" t="s">
        <v>470</v>
      </c>
      <c r="C188" s="71"/>
      <c r="D188" s="71"/>
      <c r="E188" s="70"/>
    </row>
    <row r="189" spans="1:5" ht="16.05" customHeight="1" x14ac:dyDescent="0.3">
      <c r="A189" s="75">
        <v>5</v>
      </c>
      <c r="B189" s="76" t="s">
        <v>471</v>
      </c>
      <c r="C189" s="89">
        <v>3416.67</v>
      </c>
      <c r="D189" s="89">
        <v>4100</v>
      </c>
      <c r="E189" s="76"/>
    </row>
    <row r="190" spans="1:5" ht="16.05" customHeight="1" x14ac:dyDescent="0.3">
      <c r="A190" s="69">
        <v>6</v>
      </c>
      <c r="B190" s="70" t="s">
        <v>473</v>
      </c>
      <c r="C190" s="90">
        <v>300</v>
      </c>
      <c r="D190" s="71" t="s">
        <v>111</v>
      </c>
      <c r="E190" s="70"/>
    </row>
    <row r="191" spans="1:5" ht="16.05" customHeight="1" x14ac:dyDescent="0.3">
      <c r="A191" s="75">
        <v>7</v>
      </c>
      <c r="B191" s="76" t="s">
        <v>474</v>
      </c>
      <c r="C191" s="89">
        <v>4700</v>
      </c>
      <c r="D191" s="77" t="s">
        <v>111</v>
      </c>
      <c r="E191" s="76"/>
    </row>
    <row r="192" spans="1:5" ht="16.05" customHeight="1" x14ac:dyDescent="0.3">
      <c r="A192" s="69">
        <v>8</v>
      </c>
      <c r="B192" s="70" t="s">
        <v>475</v>
      </c>
      <c r="C192" s="90">
        <v>200</v>
      </c>
      <c r="D192" s="71" t="s">
        <v>111</v>
      </c>
      <c r="E192" s="70"/>
    </row>
    <row r="193" spans="1:5" ht="16.05" customHeight="1" x14ac:dyDescent="0.3">
      <c r="A193" s="75">
        <v>9</v>
      </c>
      <c r="B193" s="76" t="s">
        <v>475</v>
      </c>
      <c r="C193" s="89">
        <v>250</v>
      </c>
      <c r="D193" s="77" t="s">
        <v>111</v>
      </c>
      <c r="E193" s="76"/>
    </row>
    <row r="194" spans="1:5" ht="16.05" customHeight="1" x14ac:dyDescent="0.3">
      <c r="A194" s="69">
        <v>10</v>
      </c>
      <c r="B194" s="70" t="s">
        <v>476</v>
      </c>
      <c r="C194" s="90">
        <v>200</v>
      </c>
      <c r="D194" s="71" t="s">
        <v>111</v>
      </c>
      <c r="E194" s="70"/>
    </row>
    <row r="195" spans="1:5" ht="16.05" customHeight="1" x14ac:dyDescent="0.3">
      <c r="A195" s="75">
        <v>11</v>
      </c>
      <c r="B195" s="76" t="s">
        <v>477</v>
      </c>
      <c r="C195" s="89">
        <v>200</v>
      </c>
      <c r="D195" s="77" t="s">
        <v>111</v>
      </c>
      <c r="E195" s="76"/>
    </row>
    <row r="196" spans="1:5" ht="16.05" customHeight="1" x14ac:dyDescent="0.3">
      <c r="A196" s="69">
        <v>12</v>
      </c>
      <c r="B196" s="70" t="s">
        <v>478</v>
      </c>
      <c r="C196" s="90">
        <v>200</v>
      </c>
      <c r="D196" s="71" t="s">
        <v>111</v>
      </c>
      <c r="E196" s="70"/>
    </row>
    <row r="197" spans="1:5" ht="16.05" customHeight="1" x14ac:dyDescent="0.3">
      <c r="A197" s="75">
        <v>13</v>
      </c>
      <c r="B197" s="76" t="s">
        <v>479</v>
      </c>
      <c r="C197" s="89">
        <v>200</v>
      </c>
      <c r="D197" s="77" t="s">
        <v>111</v>
      </c>
      <c r="E197" s="76"/>
    </row>
    <row r="198" spans="1:5" ht="16.05" customHeight="1" x14ac:dyDescent="0.3">
      <c r="A198" s="69">
        <v>14</v>
      </c>
      <c r="B198" s="70" t="s">
        <v>480</v>
      </c>
      <c r="C198" s="90">
        <v>9666.67</v>
      </c>
      <c r="D198" s="90">
        <v>9666.67</v>
      </c>
      <c r="E198" s="70"/>
    </row>
    <row r="199" spans="1:5" ht="16.05" customHeight="1" x14ac:dyDescent="0.3">
      <c r="A199" s="159" t="s">
        <v>481</v>
      </c>
      <c r="B199" s="149"/>
      <c r="C199" s="149"/>
      <c r="D199" s="149"/>
      <c r="E199" s="149"/>
    </row>
    <row r="200" spans="1:5" ht="16.05" customHeight="1" x14ac:dyDescent="0.3">
      <c r="A200" s="159" t="s">
        <v>482</v>
      </c>
      <c r="B200" s="149"/>
      <c r="C200" s="149"/>
      <c r="D200" s="149"/>
      <c r="E200" s="149"/>
    </row>
    <row r="201" spans="1:5" ht="16.05" customHeight="1" x14ac:dyDescent="0.3">
      <c r="A201" s="75">
        <v>15</v>
      </c>
      <c r="B201" s="76" t="s">
        <v>483</v>
      </c>
      <c r="C201" s="89">
        <v>228.27</v>
      </c>
      <c r="D201" s="89">
        <v>247.08</v>
      </c>
      <c r="E201" s="76"/>
    </row>
    <row r="202" spans="1:5" ht="16.05" customHeight="1" x14ac:dyDescent="0.3">
      <c r="A202" s="69">
        <v>16</v>
      </c>
      <c r="B202" s="70" t="s">
        <v>484</v>
      </c>
      <c r="C202" s="90">
        <v>1.85</v>
      </c>
      <c r="D202" s="90">
        <v>2.97</v>
      </c>
      <c r="E202" s="70"/>
    </row>
    <row r="203" spans="1:5" ht="16.05" customHeight="1" x14ac:dyDescent="0.3">
      <c r="A203" s="75">
        <v>17</v>
      </c>
      <c r="B203" s="76" t="s">
        <v>485</v>
      </c>
      <c r="C203" s="89">
        <v>204.16</v>
      </c>
      <c r="D203" s="89">
        <v>204.16</v>
      </c>
      <c r="E203" s="76"/>
    </row>
    <row r="204" spans="1:5" ht="16.05" customHeight="1" x14ac:dyDescent="0.3">
      <c r="A204" s="159" t="s">
        <v>486</v>
      </c>
      <c r="B204" s="149"/>
      <c r="C204" s="149"/>
      <c r="D204" s="149"/>
      <c r="E204" s="149"/>
    </row>
    <row r="205" spans="1:5" ht="16.95" customHeight="1" x14ac:dyDescent="0.3">
      <c r="A205" s="78"/>
      <c r="B205" s="79" t="s">
        <v>487</v>
      </c>
      <c r="C205" s="80">
        <v>10100.950000000001</v>
      </c>
      <c r="D205" s="91">
        <v>10134.879999999999</v>
      </c>
      <c r="E205" s="79"/>
    </row>
    <row r="206" spans="1:5" ht="7.95" customHeight="1" x14ac:dyDescent="0.3"/>
    <row r="207" spans="1:5" ht="19.95" customHeight="1" x14ac:dyDescent="0.3">
      <c r="A207" s="158" t="s">
        <v>488</v>
      </c>
      <c r="B207" s="149"/>
      <c r="C207" s="149"/>
      <c r="D207" s="149"/>
      <c r="E207" s="149"/>
    </row>
    <row r="208" spans="1:5" ht="30" customHeight="1" x14ac:dyDescent="0.3">
      <c r="A208" s="74" t="s">
        <v>97</v>
      </c>
      <c r="B208" s="74" t="s">
        <v>2</v>
      </c>
      <c r="C208" s="74" t="s">
        <v>3</v>
      </c>
      <c r="D208" s="74" t="s">
        <v>4</v>
      </c>
      <c r="E208" s="74"/>
    </row>
    <row r="209" spans="1:5" ht="16.05" customHeight="1" x14ac:dyDescent="0.3">
      <c r="A209" s="69">
        <v>1</v>
      </c>
      <c r="B209" s="70" t="s">
        <v>489</v>
      </c>
      <c r="C209" s="71" t="s">
        <v>111</v>
      </c>
      <c r="D209" s="71" t="s">
        <v>111</v>
      </c>
      <c r="E209" s="70"/>
    </row>
    <row r="210" spans="1:5" ht="16.05" customHeight="1" x14ac:dyDescent="0.3">
      <c r="A210" s="75">
        <v>2</v>
      </c>
      <c r="B210" s="76" t="s">
        <v>490</v>
      </c>
      <c r="C210" s="77" t="s">
        <v>111</v>
      </c>
      <c r="D210" s="77" t="s">
        <v>111</v>
      </c>
      <c r="E210" s="76"/>
    </row>
    <row r="211" spans="1:5" ht="16.95" customHeight="1" x14ac:dyDescent="0.3">
      <c r="A211" s="78"/>
      <c r="B211" s="79" t="s">
        <v>491</v>
      </c>
      <c r="C211" s="80" t="s">
        <v>111</v>
      </c>
      <c r="D211" s="80" t="s">
        <v>111</v>
      </c>
      <c r="E211" s="79"/>
    </row>
    <row r="212" spans="1:5" ht="7.95" customHeight="1" x14ac:dyDescent="0.3"/>
    <row r="213" spans="1:5" ht="19.95" customHeight="1" x14ac:dyDescent="0.3">
      <c r="A213" s="158" t="s">
        <v>492</v>
      </c>
      <c r="B213" s="149"/>
      <c r="C213" s="149"/>
      <c r="D213" s="149"/>
      <c r="E213" s="149"/>
    </row>
    <row r="214" spans="1:5" ht="30" customHeight="1" x14ac:dyDescent="0.3">
      <c r="A214" s="74" t="s">
        <v>97</v>
      </c>
      <c r="B214" s="74" t="s">
        <v>2</v>
      </c>
      <c r="C214" s="74" t="s">
        <v>3</v>
      </c>
      <c r="D214" s="74" t="s">
        <v>4</v>
      </c>
      <c r="E214" s="74"/>
    </row>
    <row r="215" spans="1:5" ht="16.05" customHeight="1" x14ac:dyDescent="0.3">
      <c r="A215" s="69">
        <v>1</v>
      </c>
      <c r="B215" s="70" t="s">
        <v>493</v>
      </c>
      <c r="C215" s="90">
        <v>687.41</v>
      </c>
      <c r="D215" s="90">
        <v>737.28</v>
      </c>
      <c r="E215" s="70"/>
    </row>
    <row r="216" spans="1:5" ht="16.05" customHeight="1" x14ac:dyDescent="0.3">
      <c r="A216" s="75">
        <v>2</v>
      </c>
      <c r="B216" s="76" t="s">
        <v>496</v>
      </c>
      <c r="C216" s="89">
        <v>377.81</v>
      </c>
      <c r="D216" s="89">
        <v>408.93</v>
      </c>
      <c r="E216" s="76"/>
    </row>
    <row r="217" spans="1:5" ht="16.05" customHeight="1" x14ac:dyDescent="0.3">
      <c r="A217" s="69">
        <v>3</v>
      </c>
      <c r="B217" s="70" t="s">
        <v>499</v>
      </c>
      <c r="C217" s="90">
        <v>373.2</v>
      </c>
      <c r="D217" s="90">
        <v>264.31</v>
      </c>
      <c r="E217" s="70"/>
    </row>
    <row r="218" spans="1:5" ht="16.95" customHeight="1" x14ac:dyDescent="0.3">
      <c r="A218" s="78"/>
      <c r="B218" s="79" t="s">
        <v>500</v>
      </c>
      <c r="C218" s="91">
        <v>1438.42</v>
      </c>
      <c r="D218" s="91">
        <v>1410.52</v>
      </c>
      <c r="E218" s="79"/>
    </row>
    <row r="219" spans="1:5" ht="7.95" customHeight="1" x14ac:dyDescent="0.3"/>
    <row r="220" spans="1:5" ht="19.95" customHeight="1" x14ac:dyDescent="0.3">
      <c r="A220" s="158" t="s">
        <v>501</v>
      </c>
      <c r="B220" s="149"/>
      <c r="C220" s="149"/>
      <c r="D220" s="149"/>
      <c r="E220" s="149"/>
    </row>
    <row r="221" spans="1:5" ht="30" customHeight="1" x14ac:dyDescent="0.3">
      <c r="A221" s="74" t="s">
        <v>97</v>
      </c>
      <c r="B221" s="74" t="s">
        <v>2</v>
      </c>
      <c r="C221" s="74" t="s">
        <v>3</v>
      </c>
      <c r="D221" s="74" t="s">
        <v>4</v>
      </c>
      <c r="E221" s="74"/>
    </row>
    <row r="222" spans="1:5" ht="16.05" customHeight="1" x14ac:dyDescent="0.3">
      <c r="A222" s="69">
        <v>1</v>
      </c>
      <c r="B222" s="70" t="s">
        <v>502</v>
      </c>
      <c r="C222" s="71" t="s">
        <v>111</v>
      </c>
      <c r="D222" s="71" t="s">
        <v>111</v>
      </c>
      <c r="E222" s="70"/>
    </row>
    <row r="223" spans="1:5" ht="16.05" customHeight="1" x14ac:dyDescent="0.3">
      <c r="A223" s="75">
        <v>2</v>
      </c>
      <c r="B223" s="76" t="s">
        <v>503</v>
      </c>
      <c r="C223" s="89">
        <v>3503.86</v>
      </c>
      <c r="D223" s="89">
        <v>3364.72</v>
      </c>
      <c r="E223" s="76"/>
    </row>
    <row r="224" spans="1:5" ht="16.05" customHeight="1" x14ac:dyDescent="0.3">
      <c r="A224" s="69">
        <v>3</v>
      </c>
      <c r="B224" s="70" t="s">
        <v>504</v>
      </c>
      <c r="C224" s="90">
        <v>2034.44</v>
      </c>
      <c r="D224" s="90">
        <v>1854.77</v>
      </c>
      <c r="E224" s="70"/>
    </row>
    <row r="225" spans="1:5" ht="16.05" customHeight="1" x14ac:dyDescent="0.3">
      <c r="A225" s="75">
        <v>4</v>
      </c>
      <c r="B225" s="76" t="s">
        <v>507</v>
      </c>
      <c r="C225" s="89">
        <v>16.36</v>
      </c>
      <c r="D225" s="89">
        <v>16.93</v>
      </c>
      <c r="E225" s="76"/>
    </row>
    <row r="226" spans="1:5" ht="16.05" customHeight="1" x14ac:dyDescent="0.3">
      <c r="A226" s="69">
        <v>5</v>
      </c>
      <c r="B226" s="70" t="s">
        <v>510</v>
      </c>
      <c r="C226" s="90">
        <v>256.86</v>
      </c>
      <c r="D226" s="90">
        <v>229.91</v>
      </c>
      <c r="E226" s="70"/>
    </row>
    <row r="227" spans="1:5" ht="16.05" customHeight="1" x14ac:dyDescent="0.3">
      <c r="A227" s="75">
        <v>6</v>
      </c>
      <c r="B227" s="76" t="s">
        <v>511</v>
      </c>
      <c r="C227" s="89">
        <v>283.10000000000002</v>
      </c>
      <c r="D227" s="89">
        <v>257.44</v>
      </c>
      <c r="E227" s="76"/>
    </row>
    <row r="228" spans="1:5" ht="16.95" customHeight="1" x14ac:dyDescent="0.3">
      <c r="A228" s="78"/>
      <c r="B228" s="79" t="s">
        <v>512</v>
      </c>
      <c r="C228" s="91">
        <v>6094.62</v>
      </c>
      <c r="D228" s="91">
        <v>5723.77</v>
      </c>
      <c r="E228" s="79"/>
    </row>
    <row r="229" spans="1:5" ht="7.95" customHeight="1" x14ac:dyDescent="0.3"/>
    <row r="230" spans="1:5" ht="19.95" customHeight="1" x14ac:dyDescent="0.3">
      <c r="A230" s="158" t="s">
        <v>513</v>
      </c>
      <c r="B230" s="149"/>
      <c r="C230" s="149"/>
      <c r="D230" s="149"/>
      <c r="E230" s="149"/>
    </row>
    <row r="231" spans="1:5" ht="30" customHeight="1" x14ac:dyDescent="0.3">
      <c r="A231" s="74" t="s">
        <v>97</v>
      </c>
      <c r="B231" s="74" t="s">
        <v>2</v>
      </c>
      <c r="C231" s="74" t="s">
        <v>3</v>
      </c>
      <c r="D231" s="74" t="s">
        <v>4</v>
      </c>
      <c r="E231" s="74"/>
    </row>
    <row r="232" spans="1:5" ht="16.05" customHeight="1" x14ac:dyDescent="0.3">
      <c r="A232" s="69">
        <v>1</v>
      </c>
      <c r="B232" s="70" t="s">
        <v>514</v>
      </c>
      <c r="C232" s="71">
        <v>493.13</v>
      </c>
      <c r="D232" s="90">
        <v>471.61</v>
      </c>
      <c r="E232" s="70"/>
    </row>
    <row r="233" spans="1:5" ht="16.05" customHeight="1" x14ac:dyDescent="0.3">
      <c r="A233" s="75">
        <v>2</v>
      </c>
      <c r="B233" s="76" t="s">
        <v>516</v>
      </c>
      <c r="C233" s="77" t="s">
        <v>111</v>
      </c>
      <c r="D233" s="89">
        <v>1388.88</v>
      </c>
      <c r="E233" s="76"/>
    </row>
    <row r="234" spans="1:5" ht="16.95" customHeight="1" x14ac:dyDescent="0.3">
      <c r="A234" s="78"/>
      <c r="B234" s="79" t="s">
        <v>517</v>
      </c>
      <c r="C234" s="91">
        <v>493.13</v>
      </c>
      <c r="D234" s="91">
        <v>1860.49</v>
      </c>
      <c r="E234" s="79"/>
    </row>
    <row r="235" spans="1:5" ht="7.95" customHeight="1" x14ac:dyDescent="0.3"/>
    <row r="236" spans="1:5" ht="19.95" customHeight="1" x14ac:dyDescent="0.3">
      <c r="A236" s="158" t="s">
        <v>518</v>
      </c>
      <c r="B236" s="149"/>
      <c r="C236" s="149"/>
      <c r="D236" s="149"/>
      <c r="E236" s="149"/>
    </row>
    <row r="237" spans="1:5" ht="30" customHeight="1" x14ac:dyDescent="0.3">
      <c r="A237" s="74" t="s">
        <v>97</v>
      </c>
      <c r="B237" s="74" t="s">
        <v>2</v>
      </c>
      <c r="C237" s="74" t="s">
        <v>3</v>
      </c>
      <c r="D237" s="74" t="s">
        <v>4</v>
      </c>
      <c r="E237" s="74"/>
    </row>
    <row r="238" spans="1:5" ht="16.05" customHeight="1" x14ac:dyDescent="0.3">
      <c r="A238" s="69">
        <v>1</v>
      </c>
      <c r="B238" s="70" t="s">
        <v>519</v>
      </c>
      <c r="C238" s="90">
        <v>6685.66</v>
      </c>
      <c r="D238" s="90">
        <v>3841.8</v>
      </c>
      <c r="E238" s="70"/>
    </row>
    <row r="239" spans="1:5" ht="16.05" customHeight="1" x14ac:dyDescent="0.3">
      <c r="A239" s="75">
        <v>2</v>
      </c>
      <c r="B239" s="76" t="s">
        <v>520</v>
      </c>
      <c r="C239" s="77" t="s">
        <v>111</v>
      </c>
      <c r="D239" s="77" t="s">
        <v>111</v>
      </c>
      <c r="E239" s="76"/>
    </row>
    <row r="240" spans="1:5" ht="16.05" customHeight="1" x14ac:dyDescent="0.3">
      <c r="A240" s="69">
        <v>3</v>
      </c>
      <c r="B240" s="70" t="s">
        <v>521</v>
      </c>
      <c r="C240" s="90">
        <v>724.5</v>
      </c>
      <c r="D240" s="90">
        <v>1090.96</v>
      </c>
      <c r="E240" s="70"/>
    </row>
    <row r="241" spans="1:5" ht="16.05" customHeight="1" x14ac:dyDescent="0.3">
      <c r="A241" s="75">
        <v>4</v>
      </c>
      <c r="B241" s="76" t="s">
        <v>522</v>
      </c>
      <c r="C241" s="89">
        <v>12300</v>
      </c>
      <c r="D241" s="89">
        <v>16100</v>
      </c>
      <c r="E241" s="76"/>
    </row>
    <row r="242" spans="1:5" ht="16.05" customHeight="1" x14ac:dyDescent="0.3">
      <c r="A242" s="69">
        <v>5</v>
      </c>
      <c r="B242" s="70" t="s">
        <v>523</v>
      </c>
      <c r="C242" s="71" t="s">
        <v>111</v>
      </c>
      <c r="D242" s="71" t="s">
        <v>111</v>
      </c>
      <c r="E242" s="70"/>
    </row>
    <row r="243" spans="1:5" ht="16.05" customHeight="1" x14ac:dyDescent="0.3">
      <c r="A243" s="75">
        <v>6</v>
      </c>
      <c r="B243" s="76" t="s">
        <v>524</v>
      </c>
      <c r="C243" s="77" t="s">
        <v>111</v>
      </c>
      <c r="D243" s="77" t="s">
        <v>111</v>
      </c>
      <c r="E243" s="76"/>
    </row>
    <row r="244" spans="1:5" ht="16.95" customHeight="1" x14ac:dyDescent="0.3">
      <c r="A244" s="78"/>
      <c r="B244" s="79" t="s">
        <v>525</v>
      </c>
      <c r="C244" s="91">
        <v>19710.16</v>
      </c>
      <c r="D244" s="91">
        <v>21032.76</v>
      </c>
      <c r="E244" s="79"/>
    </row>
    <row r="245" spans="1:5" ht="7.95" customHeight="1" x14ac:dyDescent="0.3"/>
    <row r="246" spans="1:5" ht="19.95" customHeight="1" x14ac:dyDescent="0.3">
      <c r="A246" s="158" t="s">
        <v>526</v>
      </c>
      <c r="B246" s="149"/>
      <c r="C246" s="149"/>
      <c r="D246" s="149"/>
      <c r="E246" s="149"/>
    </row>
    <row r="247" spans="1:5" ht="30" customHeight="1" x14ac:dyDescent="0.3">
      <c r="A247" s="74" t="s">
        <v>97</v>
      </c>
      <c r="B247" s="74" t="s">
        <v>2</v>
      </c>
      <c r="C247" s="74" t="s">
        <v>3</v>
      </c>
      <c r="D247" s="74" t="s">
        <v>4</v>
      </c>
      <c r="E247" s="74"/>
    </row>
    <row r="248" spans="1:5" ht="16.05" customHeight="1" x14ac:dyDescent="0.3">
      <c r="A248" s="69">
        <v>1</v>
      </c>
      <c r="B248" s="70" t="s">
        <v>489</v>
      </c>
      <c r="C248" s="90">
        <v>637.65</v>
      </c>
      <c r="D248" s="90">
        <v>435.82</v>
      </c>
      <c r="E248" s="70"/>
    </row>
    <row r="249" spans="1:5" ht="16.05" customHeight="1" x14ac:dyDescent="0.3">
      <c r="A249" s="75">
        <v>2</v>
      </c>
      <c r="B249" s="76" t="s">
        <v>527</v>
      </c>
      <c r="C249" s="89">
        <v>480.35</v>
      </c>
      <c r="D249" s="89">
        <v>538.76</v>
      </c>
      <c r="E249" s="76"/>
    </row>
    <row r="250" spans="1:5" ht="16.05" customHeight="1" x14ac:dyDescent="0.3">
      <c r="A250" s="69">
        <v>3</v>
      </c>
      <c r="B250" s="70" t="s">
        <v>490</v>
      </c>
      <c r="C250" s="90">
        <v>9380.5499999999993</v>
      </c>
      <c r="D250" s="90">
        <v>14357.81</v>
      </c>
      <c r="E250" s="70"/>
    </row>
    <row r="251" spans="1:5" ht="16.95" customHeight="1" x14ac:dyDescent="0.3">
      <c r="A251" s="78"/>
      <c r="B251" s="79" t="s">
        <v>528</v>
      </c>
      <c r="C251" s="91">
        <v>10498.55</v>
      </c>
      <c r="D251" s="91">
        <v>15332.39</v>
      </c>
      <c r="E251" s="79"/>
    </row>
    <row r="252" spans="1:5" ht="7.95" customHeight="1" x14ac:dyDescent="0.3"/>
    <row r="253" spans="1:5" ht="19.95" customHeight="1" x14ac:dyDescent="0.3">
      <c r="A253" s="158" t="s">
        <v>529</v>
      </c>
      <c r="B253" s="149"/>
      <c r="C253" s="149"/>
      <c r="D253" s="149"/>
      <c r="E253" s="149"/>
    </row>
    <row r="254" spans="1:5" ht="30" customHeight="1" x14ac:dyDescent="0.3">
      <c r="A254" s="74" t="s">
        <v>97</v>
      </c>
      <c r="B254" s="74" t="s">
        <v>2</v>
      </c>
      <c r="C254" s="74" t="s">
        <v>3</v>
      </c>
      <c r="D254" s="74" t="s">
        <v>4</v>
      </c>
      <c r="E254" s="74"/>
    </row>
    <row r="255" spans="1:5" ht="16.05" customHeight="1" x14ac:dyDescent="0.3">
      <c r="A255" s="69">
        <v>1</v>
      </c>
      <c r="B255" s="70" t="s">
        <v>496</v>
      </c>
      <c r="C255" s="87">
        <v>24.82</v>
      </c>
      <c r="D255" s="87">
        <v>23.07</v>
      </c>
      <c r="E255" s="70"/>
    </row>
    <row r="256" spans="1:5" ht="16.05" customHeight="1" x14ac:dyDescent="0.3">
      <c r="A256" s="75">
        <v>2</v>
      </c>
      <c r="B256" s="76" t="s">
        <v>530</v>
      </c>
      <c r="C256" s="86">
        <v>376</v>
      </c>
      <c r="D256" s="86">
        <v>341.74</v>
      </c>
      <c r="E256" s="76"/>
    </row>
    <row r="257" spans="1:5" ht="16.05" customHeight="1" x14ac:dyDescent="0.3">
      <c r="A257" s="69">
        <v>3</v>
      </c>
      <c r="B257" s="70" t="s">
        <v>531</v>
      </c>
      <c r="C257" s="87">
        <v>10.17</v>
      </c>
      <c r="D257" s="87">
        <v>9.8699999999999992</v>
      </c>
      <c r="E257" s="70"/>
    </row>
    <row r="258" spans="1:5" ht="16.05" customHeight="1" x14ac:dyDescent="0.3">
      <c r="A258" s="75">
        <v>4</v>
      </c>
      <c r="B258" s="76" t="s">
        <v>532</v>
      </c>
      <c r="C258" s="86">
        <v>1.01</v>
      </c>
      <c r="D258" s="86">
        <v>1.38</v>
      </c>
      <c r="E258" s="76"/>
    </row>
    <row r="259" spans="1:5" ht="16.05" customHeight="1" x14ac:dyDescent="0.3">
      <c r="A259" s="69">
        <v>5</v>
      </c>
      <c r="B259" s="70" t="s">
        <v>533</v>
      </c>
      <c r="C259" s="87">
        <v>265.92</v>
      </c>
      <c r="D259" s="87">
        <v>255.87</v>
      </c>
      <c r="E259" s="70"/>
    </row>
    <row r="260" spans="1:5" ht="16.05" customHeight="1" x14ac:dyDescent="0.3">
      <c r="A260" s="75">
        <v>6</v>
      </c>
      <c r="B260" s="76" t="s">
        <v>534</v>
      </c>
      <c r="C260" s="86">
        <v>37.47</v>
      </c>
      <c r="D260" s="86">
        <v>139</v>
      </c>
      <c r="E260" s="76"/>
    </row>
    <row r="261" spans="1:5" ht="16.05" customHeight="1" x14ac:dyDescent="0.3">
      <c r="A261" s="69">
        <v>7</v>
      </c>
      <c r="B261" s="70" t="s">
        <v>535</v>
      </c>
      <c r="C261" s="87">
        <v>2092.08</v>
      </c>
      <c r="D261" s="87">
        <v>1897.13</v>
      </c>
      <c r="E261" s="70"/>
    </row>
    <row r="262" spans="1:5" ht="16.05" customHeight="1" x14ac:dyDescent="0.3">
      <c r="A262" s="75">
        <v>8</v>
      </c>
      <c r="B262" s="76" t="s">
        <v>332</v>
      </c>
      <c r="C262" s="86">
        <v>24.72</v>
      </c>
      <c r="D262" s="86">
        <v>34.31</v>
      </c>
      <c r="E262" s="76"/>
    </row>
    <row r="263" spans="1:5" ht="16.05" customHeight="1" x14ac:dyDescent="0.3">
      <c r="A263" s="69">
        <v>9</v>
      </c>
      <c r="B263" s="70" t="s">
        <v>335</v>
      </c>
      <c r="C263" s="87">
        <v>51.96</v>
      </c>
      <c r="D263" s="87">
        <v>78.260000000000005</v>
      </c>
      <c r="E263" s="70"/>
    </row>
    <row r="264" spans="1:5" ht="16.05" customHeight="1" x14ac:dyDescent="0.3">
      <c r="A264" s="75">
        <v>10</v>
      </c>
      <c r="B264" s="76" t="s">
        <v>536</v>
      </c>
      <c r="C264" s="86">
        <v>52.37</v>
      </c>
      <c r="D264" s="86" t="s">
        <v>111</v>
      </c>
      <c r="E264" s="76"/>
    </row>
    <row r="265" spans="1:5" ht="16.05" customHeight="1" x14ac:dyDescent="0.3">
      <c r="A265" s="69">
        <v>11</v>
      </c>
      <c r="B265" s="70" t="s">
        <v>537</v>
      </c>
      <c r="C265" s="87">
        <v>2389.08</v>
      </c>
      <c r="D265" s="87">
        <v>2066.52</v>
      </c>
      <c r="E265" s="70"/>
    </row>
    <row r="266" spans="1:5" ht="16.05" customHeight="1" x14ac:dyDescent="0.3">
      <c r="A266" s="75">
        <v>12</v>
      </c>
      <c r="B266" s="76" t="s">
        <v>538</v>
      </c>
      <c r="C266" s="86">
        <v>4323.7700000000004</v>
      </c>
      <c r="D266" s="86">
        <v>5608.03</v>
      </c>
      <c r="E266" s="76"/>
    </row>
    <row r="267" spans="1:5" ht="16.95" customHeight="1" x14ac:dyDescent="0.3">
      <c r="A267" s="78"/>
      <c r="B267" s="79" t="s">
        <v>539</v>
      </c>
      <c r="C267" s="91">
        <v>9649.3700000000008</v>
      </c>
      <c r="D267" s="91">
        <v>10517.18</v>
      </c>
      <c r="E267" s="79"/>
    </row>
    <row r="268" spans="1:5" ht="7.95" customHeight="1" x14ac:dyDescent="0.3"/>
    <row r="269" spans="1:5" ht="19.95" customHeight="1" x14ac:dyDescent="0.3">
      <c r="A269" s="158" t="s">
        <v>540</v>
      </c>
      <c r="B269" s="149"/>
      <c r="C269" s="149"/>
      <c r="D269" s="149"/>
      <c r="E269" s="149"/>
    </row>
    <row r="270" spans="1:5" ht="30" customHeight="1" x14ac:dyDescent="0.3">
      <c r="A270" s="74" t="s">
        <v>97</v>
      </c>
      <c r="B270" s="74" t="s">
        <v>2</v>
      </c>
      <c r="C270" s="74" t="s">
        <v>3</v>
      </c>
      <c r="D270" s="74" t="s">
        <v>4</v>
      </c>
      <c r="E270" s="74"/>
    </row>
    <row r="271" spans="1:5" ht="16.05" customHeight="1" x14ac:dyDescent="0.3">
      <c r="A271" s="69">
        <v>1</v>
      </c>
      <c r="B271" s="70" t="s">
        <v>541</v>
      </c>
      <c r="C271" s="90">
        <v>1526.47</v>
      </c>
      <c r="D271" s="90">
        <v>1518</v>
      </c>
      <c r="E271" s="70"/>
    </row>
    <row r="272" spans="1:5" ht="16.05" customHeight="1" x14ac:dyDescent="0.3">
      <c r="A272" s="75">
        <v>2</v>
      </c>
      <c r="B272" s="76" t="s">
        <v>542</v>
      </c>
      <c r="C272" s="89">
        <v>164.42</v>
      </c>
      <c r="D272" s="89">
        <v>152.36000000000001</v>
      </c>
      <c r="E272" s="76"/>
    </row>
    <row r="273" spans="1:5" ht="16.05" customHeight="1" x14ac:dyDescent="0.3">
      <c r="A273" s="69">
        <v>3</v>
      </c>
      <c r="B273" s="70" t="s">
        <v>543</v>
      </c>
      <c r="C273" s="90">
        <v>21.53</v>
      </c>
      <c r="D273" s="90">
        <v>19.98</v>
      </c>
      <c r="E273" s="70"/>
    </row>
    <row r="274" spans="1:5" ht="16.05" customHeight="1" x14ac:dyDescent="0.3">
      <c r="A274" s="75">
        <v>4</v>
      </c>
      <c r="B274" s="76" t="s">
        <v>544</v>
      </c>
      <c r="C274" s="89">
        <v>1372.11</v>
      </c>
      <c r="D274" s="89">
        <v>1367.79</v>
      </c>
      <c r="E274" s="76"/>
    </row>
    <row r="275" spans="1:5" ht="16.05" customHeight="1" x14ac:dyDescent="0.3">
      <c r="A275" s="69">
        <v>5</v>
      </c>
      <c r="B275" s="70" t="s">
        <v>545</v>
      </c>
      <c r="C275" s="90">
        <v>120.18</v>
      </c>
      <c r="D275" s="90">
        <v>99.84</v>
      </c>
      <c r="E275" s="70"/>
    </row>
    <row r="276" spans="1:5" ht="16.05" customHeight="1" x14ac:dyDescent="0.3">
      <c r="A276" s="75">
        <v>6</v>
      </c>
      <c r="B276" s="76" t="s">
        <v>546</v>
      </c>
      <c r="C276" s="89">
        <v>84.82</v>
      </c>
      <c r="D276" s="89">
        <v>85.65</v>
      </c>
      <c r="E276" s="76"/>
    </row>
    <row r="277" spans="1:5" ht="16.05" customHeight="1" x14ac:dyDescent="0.3">
      <c r="A277" s="69">
        <v>7</v>
      </c>
      <c r="B277" s="70" t="s">
        <v>547</v>
      </c>
      <c r="C277" s="90">
        <v>10.28</v>
      </c>
      <c r="D277" s="90">
        <v>12.86</v>
      </c>
      <c r="E277" s="70"/>
    </row>
    <row r="278" spans="1:5" ht="16.05" customHeight="1" x14ac:dyDescent="0.3">
      <c r="A278" s="75">
        <v>8</v>
      </c>
      <c r="B278" s="76" t="s">
        <v>548</v>
      </c>
      <c r="C278" s="89">
        <v>42.85</v>
      </c>
      <c r="D278" s="89">
        <v>40.28</v>
      </c>
      <c r="E278" s="76"/>
    </row>
    <row r="279" spans="1:5" ht="16.05" customHeight="1" x14ac:dyDescent="0.3">
      <c r="A279" s="69">
        <v>9</v>
      </c>
      <c r="B279" s="70" t="s">
        <v>549</v>
      </c>
      <c r="C279" s="90">
        <v>853.41</v>
      </c>
      <c r="D279" s="90">
        <v>1339.23</v>
      </c>
      <c r="E279" s="70"/>
    </row>
    <row r="280" spans="1:5" ht="16.95" customHeight="1" x14ac:dyDescent="0.3">
      <c r="A280" s="78"/>
      <c r="B280" s="79" t="s">
        <v>550</v>
      </c>
      <c r="C280" s="91">
        <v>4196.07</v>
      </c>
      <c r="D280" s="91">
        <v>4635.99</v>
      </c>
      <c r="E280" s="79"/>
    </row>
    <row r="281" spans="1:5" ht="7.95" customHeight="1" x14ac:dyDescent="0.3"/>
    <row r="282" spans="1:5" ht="19.95" customHeight="1" x14ac:dyDescent="0.3">
      <c r="A282" s="158" t="s">
        <v>551</v>
      </c>
      <c r="B282" s="149"/>
      <c r="C282" s="149"/>
      <c r="D282" s="149"/>
      <c r="E282" s="149"/>
    </row>
    <row r="283" spans="1:5" ht="30" customHeight="1" x14ac:dyDescent="0.3">
      <c r="A283" s="74" t="s">
        <v>97</v>
      </c>
      <c r="B283" s="74" t="s">
        <v>2</v>
      </c>
      <c r="C283" s="74" t="s">
        <v>3</v>
      </c>
      <c r="D283" s="74" t="s">
        <v>4</v>
      </c>
      <c r="E283" s="74"/>
    </row>
    <row r="284" spans="1:5" ht="16.05" customHeight="1" x14ac:dyDescent="0.3">
      <c r="A284" s="69">
        <v>1</v>
      </c>
      <c r="B284" s="70" t="s">
        <v>503</v>
      </c>
      <c r="C284" s="90">
        <v>398.63</v>
      </c>
      <c r="D284" s="90">
        <v>381.27</v>
      </c>
      <c r="E284" s="70"/>
    </row>
    <row r="285" spans="1:5" ht="16.05" customHeight="1" x14ac:dyDescent="0.3">
      <c r="A285" s="75">
        <v>2</v>
      </c>
      <c r="B285" s="76" t="s">
        <v>504</v>
      </c>
      <c r="C285" s="89">
        <v>321.20999999999998</v>
      </c>
      <c r="D285" s="89">
        <v>288.43</v>
      </c>
      <c r="E285" s="76"/>
    </row>
    <row r="286" spans="1:5" ht="16.05" customHeight="1" x14ac:dyDescent="0.3">
      <c r="A286" s="69">
        <v>3</v>
      </c>
      <c r="B286" s="70" t="s">
        <v>507</v>
      </c>
      <c r="C286" s="90">
        <v>1.98</v>
      </c>
      <c r="D286" s="90">
        <v>1.83</v>
      </c>
      <c r="E286" s="70"/>
    </row>
    <row r="287" spans="1:5" ht="16.05" customHeight="1" x14ac:dyDescent="0.3">
      <c r="A287" s="75">
        <v>4</v>
      </c>
      <c r="B287" s="76" t="s">
        <v>552</v>
      </c>
      <c r="C287" s="89">
        <v>44.7</v>
      </c>
      <c r="D287" s="89">
        <v>44.7</v>
      </c>
      <c r="E287" s="76"/>
    </row>
    <row r="288" spans="1:5" ht="16.05" customHeight="1" x14ac:dyDescent="0.3">
      <c r="A288" s="69">
        <v>5</v>
      </c>
      <c r="B288" s="70" t="s">
        <v>553</v>
      </c>
      <c r="C288" s="90">
        <v>38.85</v>
      </c>
      <c r="D288" s="90">
        <v>38.85</v>
      </c>
      <c r="E288" s="70"/>
    </row>
    <row r="289" spans="1:5" ht="16.05" customHeight="1" x14ac:dyDescent="0.3">
      <c r="A289" s="75">
        <v>6</v>
      </c>
      <c r="B289" s="76" t="s">
        <v>554</v>
      </c>
      <c r="C289" s="89">
        <v>235.66</v>
      </c>
      <c r="D289" s="89">
        <v>245.15</v>
      </c>
      <c r="E289" s="76"/>
    </row>
    <row r="290" spans="1:5" ht="16.05" customHeight="1" x14ac:dyDescent="0.3">
      <c r="A290" s="69">
        <v>7</v>
      </c>
      <c r="B290" s="70" t="s">
        <v>555</v>
      </c>
      <c r="C290" s="90">
        <v>346.21</v>
      </c>
      <c r="D290" s="90">
        <v>290.14</v>
      </c>
      <c r="E290" s="70"/>
    </row>
    <row r="291" spans="1:5" ht="16.95" customHeight="1" x14ac:dyDescent="0.3">
      <c r="A291" s="78"/>
      <c r="B291" s="79" t="s">
        <v>556</v>
      </c>
      <c r="C291" s="91">
        <v>1387.24</v>
      </c>
      <c r="D291" s="91">
        <v>1290.3699999999999</v>
      </c>
      <c r="E291" s="79"/>
    </row>
    <row r="292" spans="1:5" ht="7.95" customHeight="1" x14ac:dyDescent="0.3"/>
    <row r="293" spans="1:5" ht="19.95" customHeight="1" x14ac:dyDescent="0.3">
      <c r="A293" s="158" t="s">
        <v>557</v>
      </c>
      <c r="B293" s="149"/>
      <c r="C293" s="149"/>
      <c r="D293" s="149"/>
      <c r="E293" s="149"/>
    </row>
    <row r="294" spans="1:5" ht="30" customHeight="1" x14ac:dyDescent="0.3">
      <c r="A294" s="74" t="s">
        <v>97</v>
      </c>
      <c r="B294" s="74" t="s">
        <v>2</v>
      </c>
      <c r="C294" s="74" t="s">
        <v>3</v>
      </c>
      <c r="D294" s="74" t="s">
        <v>4</v>
      </c>
      <c r="E294" s="74"/>
    </row>
    <row r="295" spans="1:5" ht="16.05" customHeight="1" x14ac:dyDescent="0.3">
      <c r="A295" s="69">
        <v>1</v>
      </c>
      <c r="B295" s="70" t="s">
        <v>558</v>
      </c>
      <c r="C295" s="90">
        <v>208.83</v>
      </c>
      <c r="D295" s="71" t="s">
        <v>111</v>
      </c>
      <c r="E295" s="70"/>
    </row>
    <row r="296" spans="1:5" ht="16.05" customHeight="1" x14ac:dyDescent="0.3">
      <c r="A296" s="75">
        <v>2</v>
      </c>
      <c r="B296" s="76" t="s">
        <v>559</v>
      </c>
      <c r="C296" s="89">
        <v>720.43</v>
      </c>
      <c r="D296" s="89">
        <v>608.28</v>
      </c>
      <c r="E296" s="76"/>
    </row>
    <row r="297" spans="1:5" ht="16.05" customHeight="1" x14ac:dyDescent="0.3">
      <c r="A297" s="69">
        <v>3</v>
      </c>
      <c r="B297" s="70" t="s">
        <v>560</v>
      </c>
      <c r="C297" s="90">
        <v>-572.44000000000005</v>
      </c>
      <c r="D297" s="90">
        <v>-399.45</v>
      </c>
      <c r="E297" s="70"/>
    </row>
    <row r="298" spans="1:5" ht="16.05" customHeight="1" x14ac:dyDescent="0.3">
      <c r="A298" s="75">
        <v>4</v>
      </c>
      <c r="B298" s="76" t="s">
        <v>561</v>
      </c>
      <c r="C298" s="89">
        <v>-208.84</v>
      </c>
      <c r="D298" s="77" t="s">
        <v>111</v>
      </c>
      <c r="E298" s="76"/>
    </row>
    <row r="299" spans="1:5" ht="16.95" customHeight="1" x14ac:dyDescent="0.3">
      <c r="A299" s="78"/>
      <c r="B299" s="79" t="s">
        <v>562</v>
      </c>
      <c r="C299" s="91">
        <v>147.97999999999999</v>
      </c>
      <c r="D299" s="91">
        <v>208.83</v>
      </c>
      <c r="E299" s="79"/>
    </row>
    <row r="300" spans="1:5" ht="7.95" customHeight="1" x14ac:dyDescent="0.3"/>
    <row r="301" spans="1:5" ht="19.95" customHeight="1" x14ac:dyDescent="0.3">
      <c r="A301" s="158" t="s">
        <v>563</v>
      </c>
      <c r="B301" s="149"/>
      <c r="C301" s="149"/>
      <c r="D301" s="149"/>
      <c r="E301" s="149"/>
    </row>
    <row r="302" spans="1:5" ht="30" customHeight="1" x14ac:dyDescent="0.3">
      <c r="A302" s="74" t="s">
        <v>97</v>
      </c>
      <c r="B302" s="74" t="s">
        <v>2</v>
      </c>
      <c r="C302" s="74" t="s">
        <v>3</v>
      </c>
      <c r="D302" s="74" t="s">
        <v>4</v>
      </c>
      <c r="E302" s="74"/>
    </row>
    <row r="303" spans="1:5" ht="16.05" customHeight="1" x14ac:dyDescent="0.3">
      <c r="A303" s="69">
        <v>1</v>
      </c>
      <c r="B303" s="70" t="s">
        <v>564</v>
      </c>
      <c r="C303" s="90">
        <v>101223.71</v>
      </c>
      <c r="D303" s="90">
        <v>104031.18</v>
      </c>
      <c r="E303" s="70"/>
    </row>
    <row r="304" spans="1:5" ht="16.05" customHeight="1" x14ac:dyDescent="0.3">
      <c r="A304" s="75">
        <v>2</v>
      </c>
      <c r="B304" s="76" t="s">
        <v>565</v>
      </c>
      <c r="C304" s="89">
        <v>492.03</v>
      </c>
      <c r="D304" s="89">
        <v>513.91</v>
      </c>
      <c r="E304" s="76"/>
    </row>
    <row r="305" spans="1:5" ht="16.05" customHeight="1" x14ac:dyDescent="0.3">
      <c r="A305" s="81">
        <v>3</v>
      </c>
      <c r="B305" s="82" t="s">
        <v>566</v>
      </c>
      <c r="C305" s="134">
        <v>101715.74</v>
      </c>
      <c r="D305" s="134">
        <v>104545.09</v>
      </c>
      <c r="E305" s="84"/>
    </row>
    <row r="306" spans="1:5" ht="16.05" customHeight="1" x14ac:dyDescent="0.3">
      <c r="A306" s="75">
        <v>4</v>
      </c>
      <c r="B306" s="76" t="s">
        <v>567</v>
      </c>
      <c r="C306" s="89">
        <v>23.8</v>
      </c>
      <c r="D306" s="89">
        <v>19.93</v>
      </c>
      <c r="E306" s="76"/>
    </row>
    <row r="307" spans="1:5" ht="16.05" customHeight="1" x14ac:dyDescent="0.3">
      <c r="A307" s="69">
        <v>5</v>
      </c>
      <c r="B307" s="70" t="s">
        <v>568</v>
      </c>
      <c r="C307" s="90">
        <v>8</v>
      </c>
      <c r="D307" s="90">
        <v>7.97</v>
      </c>
      <c r="E307" s="70"/>
    </row>
    <row r="308" spans="1:5" ht="16.05" customHeight="1" x14ac:dyDescent="0.3">
      <c r="A308" s="75">
        <v>6</v>
      </c>
      <c r="B308" s="76" t="s">
        <v>569</v>
      </c>
      <c r="C308" s="89">
        <v>359.43</v>
      </c>
      <c r="D308" s="89">
        <v>518.61</v>
      </c>
      <c r="E308" s="76"/>
    </row>
    <row r="309" spans="1:5" ht="16.05" customHeight="1" x14ac:dyDescent="0.3">
      <c r="A309" s="69">
        <v>7</v>
      </c>
      <c r="B309" s="70" t="s">
        <v>570</v>
      </c>
      <c r="C309" s="90">
        <v>98.01</v>
      </c>
      <c r="D309" s="90">
        <v>101.73</v>
      </c>
      <c r="E309" s="70"/>
    </row>
    <row r="310" spans="1:5" ht="16.05" customHeight="1" x14ac:dyDescent="0.3">
      <c r="A310" s="75">
        <v>8</v>
      </c>
      <c r="B310" s="76" t="s">
        <v>571</v>
      </c>
      <c r="C310" s="89">
        <v>273.20999999999998</v>
      </c>
      <c r="D310" s="89">
        <v>181.26</v>
      </c>
      <c r="E310" s="76"/>
    </row>
    <row r="311" spans="1:5" ht="16.05" customHeight="1" x14ac:dyDescent="0.3">
      <c r="A311" s="81">
        <v>9</v>
      </c>
      <c r="B311" s="82" t="s">
        <v>572</v>
      </c>
      <c r="C311" s="134">
        <v>738.65</v>
      </c>
      <c r="D311" s="134">
        <v>809.57</v>
      </c>
      <c r="E311" s="84"/>
    </row>
    <row r="312" spans="1:5" ht="16.95" customHeight="1" x14ac:dyDescent="0.3">
      <c r="A312" s="78"/>
      <c r="B312" s="79" t="s">
        <v>573</v>
      </c>
      <c r="C312" s="80" t="s">
        <v>574</v>
      </c>
      <c r="D312" s="80" t="s">
        <v>575</v>
      </c>
      <c r="E312" s="79"/>
    </row>
    <row r="313" spans="1:5" ht="7.95" customHeight="1" x14ac:dyDescent="0.3"/>
    <row r="314" spans="1:5" ht="19.95" customHeight="1" x14ac:dyDescent="0.3">
      <c r="A314" s="158" t="s">
        <v>576</v>
      </c>
      <c r="B314" s="149"/>
      <c r="C314" s="149"/>
      <c r="D314" s="149"/>
      <c r="E314" s="149"/>
    </row>
    <row r="315" spans="1:5" ht="30" customHeight="1" x14ac:dyDescent="0.3">
      <c r="A315" s="74" t="s">
        <v>97</v>
      </c>
      <c r="B315" s="74" t="s">
        <v>2</v>
      </c>
      <c r="C315" s="74" t="s">
        <v>3</v>
      </c>
      <c r="D315" s="74" t="s">
        <v>4</v>
      </c>
      <c r="E315" s="74"/>
    </row>
    <row r="316" spans="1:5" ht="16.05" customHeight="1" x14ac:dyDescent="0.3">
      <c r="A316" s="69">
        <v>1</v>
      </c>
      <c r="B316" s="70" t="s">
        <v>577</v>
      </c>
      <c r="C316" s="90">
        <v>163.02000000000001</v>
      </c>
      <c r="D316" s="90">
        <v>161.87</v>
      </c>
      <c r="E316" s="70"/>
    </row>
    <row r="317" spans="1:5" ht="16.05" customHeight="1" x14ac:dyDescent="0.3">
      <c r="A317" s="75">
        <v>2</v>
      </c>
      <c r="B317" s="76" t="s">
        <v>578</v>
      </c>
      <c r="C317" s="89">
        <v>3.17</v>
      </c>
      <c r="D317" s="89">
        <v>3.64</v>
      </c>
      <c r="E317" s="76"/>
    </row>
    <row r="318" spans="1:5" ht="16.05" customHeight="1" x14ac:dyDescent="0.3">
      <c r="A318" s="69">
        <v>3</v>
      </c>
      <c r="B318" s="70" t="s">
        <v>579</v>
      </c>
      <c r="C318" s="90">
        <v>23.91</v>
      </c>
      <c r="D318" s="90">
        <v>25.17</v>
      </c>
      <c r="E318" s="70"/>
    </row>
    <row r="319" spans="1:5" ht="16.05" customHeight="1" x14ac:dyDescent="0.3">
      <c r="A319" s="75">
        <v>4</v>
      </c>
      <c r="B319" s="76" t="s">
        <v>580</v>
      </c>
      <c r="C319" s="89">
        <v>115.05</v>
      </c>
      <c r="D319" s="89">
        <v>115.77</v>
      </c>
      <c r="E319" s="76"/>
    </row>
    <row r="320" spans="1:5" ht="16.05" customHeight="1" x14ac:dyDescent="0.3">
      <c r="A320" s="81">
        <v>5</v>
      </c>
      <c r="B320" s="82" t="s">
        <v>581</v>
      </c>
      <c r="C320" s="134">
        <v>305.14999999999998</v>
      </c>
      <c r="D320" s="134">
        <v>306.45</v>
      </c>
      <c r="E320" s="84"/>
    </row>
    <row r="321" spans="1:5" ht="16.05" customHeight="1" x14ac:dyDescent="0.3">
      <c r="A321" s="75">
        <v>6</v>
      </c>
      <c r="B321" s="76" t="s">
        <v>582</v>
      </c>
      <c r="C321" s="89">
        <v>46.26</v>
      </c>
      <c r="D321" s="89">
        <v>38.15</v>
      </c>
      <c r="E321" s="76"/>
    </row>
    <row r="322" spans="1:5" ht="16.05" customHeight="1" x14ac:dyDescent="0.3">
      <c r="A322" s="69">
        <v>7</v>
      </c>
      <c r="B322" s="70" t="s">
        <v>583</v>
      </c>
      <c r="C322" s="90">
        <v>226.92</v>
      </c>
      <c r="D322" s="90">
        <v>130.66</v>
      </c>
      <c r="E322" s="70"/>
    </row>
    <row r="323" spans="1:5" ht="16.05" customHeight="1" x14ac:dyDescent="0.3">
      <c r="A323" s="81">
        <v>8</v>
      </c>
      <c r="B323" s="82" t="s">
        <v>584</v>
      </c>
      <c r="C323" s="134">
        <v>273.18</v>
      </c>
      <c r="D323" s="134">
        <v>168.81</v>
      </c>
      <c r="E323" s="84"/>
    </row>
    <row r="324" spans="1:5" ht="16.05" customHeight="1" x14ac:dyDescent="0.3">
      <c r="A324" s="69">
        <v>9</v>
      </c>
      <c r="B324" s="70" t="s">
        <v>585</v>
      </c>
      <c r="C324" s="90">
        <v>0.06</v>
      </c>
      <c r="D324" s="71" t="s">
        <v>111</v>
      </c>
      <c r="E324" s="70"/>
    </row>
    <row r="325" spans="1:5" ht="16.05" customHeight="1" x14ac:dyDescent="0.3">
      <c r="A325" s="75">
        <v>10</v>
      </c>
      <c r="B325" s="76" t="s">
        <v>586</v>
      </c>
      <c r="C325" s="89">
        <v>0.24</v>
      </c>
      <c r="D325" s="89">
        <v>0.31</v>
      </c>
      <c r="E325" s="76"/>
    </row>
    <row r="326" spans="1:5" ht="16.05" customHeight="1" x14ac:dyDescent="0.3">
      <c r="A326" s="69">
        <v>11</v>
      </c>
      <c r="B326" s="70" t="s">
        <v>587</v>
      </c>
      <c r="C326" s="90">
        <v>5.56</v>
      </c>
      <c r="D326" s="90">
        <v>5.47</v>
      </c>
      <c r="E326" s="70"/>
    </row>
    <row r="327" spans="1:5" ht="16.05" customHeight="1" x14ac:dyDescent="0.3">
      <c r="A327" s="75">
        <v>12</v>
      </c>
      <c r="B327" s="76" t="s">
        <v>588</v>
      </c>
      <c r="C327" s="89">
        <v>121.36</v>
      </c>
      <c r="D327" s="89">
        <v>218.49</v>
      </c>
      <c r="E327" s="76"/>
    </row>
    <row r="328" spans="1:5" ht="16.05" customHeight="1" x14ac:dyDescent="0.3">
      <c r="A328" s="69">
        <v>13</v>
      </c>
      <c r="B328" s="70" t="s">
        <v>589</v>
      </c>
      <c r="C328" s="90">
        <v>123.25</v>
      </c>
      <c r="D328" s="90">
        <v>320.66000000000003</v>
      </c>
      <c r="E328" s="70"/>
    </row>
    <row r="329" spans="1:5" ht="16.05" customHeight="1" x14ac:dyDescent="0.3">
      <c r="A329" s="75">
        <v>14</v>
      </c>
      <c r="B329" s="76" t="s">
        <v>590</v>
      </c>
      <c r="C329" s="89">
        <v>218.02</v>
      </c>
      <c r="D329" s="89">
        <v>109.66</v>
      </c>
      <c r="E329" s="76"/>
    </row>
    <row r="330" spans="1:5" ht="16.05" customHeight="1" x14ac:dyDescent="0.3">
      <c r="A330" s="69">
        <v>15</v>
      </c>
      <c r="B330" s="70" t="s">
        <v>395</v>
      </c>
      <c r="C330" s="90">
        <v>88.01</v>
      </c>
      <c r="D330" s="90">
        <v>18.63</v>
      </c>
      <c r="E330" s="70"/>
    </row>
    <row r="331" spans="1:5" ht="16.05" customHeight="1" x14ac:dyDescent="0.3">
      <c r="A331" s="81">
        <v>16</v>
      </c>
      <c r="B331" s="82" t="s">
        <v>591</v>
      </c>
      <c r="C331" s="134">
        <v>556.44000000000005</v>
      </c>
      <c r="D331" s="134">
        <v>673.22</v>
      </c>
      <c r="E331" s="84"/>
    </row>
    <row r="332" spans="1:5" ht="16.05" customHeight="1" x14ac:dyDescent="0.3">
      <c r="A332" s="69">
        <v>17</v>
      </c>
      <c r="B332" s="70" t="s">
        <v>592</v>
      </c>
      <c r="C332" s="90">
        <v>-0.42</v>
      </c>
      <c r="D332" s="90">
        <v>-0.42</v>
      </c>
      <c r="E332" s="70"/>
    </row>
    <row r="333" spans="1:5" ht="16.05" customHeight="1" x14ac:dyDescent="0.3">
      <c r="A333" s="75">
        <v>18</v>
      </c>
      <c r="B333" s="76" t="s">
        <v>593</v>
      </c>
      <c r="C333" s="89">
        <v>556.02</v>
      </c>
      <c r="D333" s="89">
        <v>672.8</v>
      </c>
      <c r="E333" s="76"/>
    </row>
    <row r="334" spans="1:5" ht="16.95" customHeight="1" x14ac:dyDescent="0.3">
      <c r="A334" s="78"/>
      <c r="B334" s="79" t="s">
        <v>594</v>
      </c>
      <c r="C334" s="80" t="s">
        <v>595</v>
      </c>
      <c r="D334" s="80" t="s">
        <v>596</v>
      </c>
      <c r="E334" s="79"/>
    </row>
    <row r="335" spans="1:5" ht="7.95" customHeight="1" x14ac:dyDescent="0.3"/>
    <row r="336" spans="1:5" ht="19.95" customHeight="1" x14ac:dyDescent="0.3">
      <c r="A336" s="158" t="s">
        <v>597</v>
      </c>
      <c r="B336" s="149"/>
      <c r="C336" s="149"/>
      <c r="D336" s="149"/>
      <c r="E336" s="149"/>
    </row>
    <row r="337" spans="1:5" ht="30" customHeight="1" x14ac:dyDescent="0.3">
      <c r="A337" s="74" t="s">
        <v>97</v>
      </c>
      <c r="B337" s="74" t="s">
        <v>2</v>
      </c>
      <c r="C337" s="74" t="s">
        <v>3</v>
      </c>
      <c r="D337" s="74" t="s">
        <v>4</v>
      </c>
      <c r="E337" s="74"/>
    </row>
    <row r="338" spans="1:5" ht="16.05" customHeight="1" x14ac:dyDescent="0.3">
      <c r="A338" s="69">
        <v>1</v>
      </c>
      <c r="B338" s="70" t="s">
        <v>598</v>
      </c>
      <c r="C338" s="87">
        <v>11373.53</v>
      </c>
      <c r="D338" s="87">
        <v>10324</v>
      </c>
      <c r="E338" s="70"/>
    </row>
    <row r="339" spans="1:5" ht="16.05" customHeight="1" x14ac:dyDescent="0.3">
      <c r="A339" s="75">
        <v>2</v>
      </c>
      <c r="B339" s="76" t="s">
        <v>599</v>
      </c>
      <c r="C339" s="86">
        <v>37781.879999999997</v>
      </c>
      <c r="D339" s="86">
        <v>45918.51</v>
      </c>
      <c r="E339" s="76"/>
    </row>
    <row r="340" spans="1:5" ht="16.05" customHeight="1" x14ac:dyDescent="0.3">
      <c r="A340" s="69">
        <v>3</v>
      </c>
      <c r="B340" s="70" t="s">
        <v>600</v>
      </c>
      <c r="C340" s="87">
        <v>399.13</v>
      </c>
      <c r="D340" s="87">
        <v>1328.6</v>
      </c>
      <c r="E340" s="70"/>
    </row>
    <row r="341" spans="1:5" ht="16.05" customHeight="1" x14ac:dyDescent="0.3">
      <c r="A341" s="75">
        <v>4</v>
      </c>
      <c r="B341" s="76" t="s">
        <v>601</v>
      </c>
      <c r="C341" s="86">
        <v>2207.8000000000002</v>
      </c>
      <c r="D341" s="86">
        <v>2428.0500000000002</v>
      </c>
      <c r="E341" s="76"/>
    </row>
    <row r="342" spans="1:5" ht="16.05" customHeight="1" x14ac:dyDescent="0.3">
      <c r="A342" s="69">
        <v>5</v>
      </c>
      <c r="B342" s="70" t="s">
        <v>602</v>
      </c>
      <c r="C342" s="87">
        <v>756.67</v>
      </c>
      <c r="D342" s="87">
        <v>747.62</v>
      </c>
      <c r="E342" s="70"/>
    </row>
    <row r="343" spans="1:5" ht="16.05" customHeight="1" x14ac:dyDescent="0.3">
      <c r="A343" s="75">
        <v>6</v>
      </c>
      <c r="B343" s="76" t="s">
        <v>603</v>
      </c>
      <c r="C343" s="86">
        <v>327.32</v>
      </c>
      <c r="D343" s="86">
        <v>362.48</v>
      </c>
      <c r="E343" s="76"/>
    </row>
    <row r="344" spans="1:5" ht="16.05" customHeight="1" x14ac:dyDescent="0.3">
      <c r="A344" s="69">
        <v>7</v>
      </c>
      <c r="B344" s="70" t="s">
        <v>604</v>
      </c>
      <c r="C344" s="87">
        <v>427.79</v>
      </c>
      <c r="D344" s="87">
        <v>485.21</v>
      </c>
      <c r="E344" s="70"/>
    </row>
    <row r="345" spans="1:5" ht="16.05" customHeight="1" x14ac:dyDescent="0.3">
      <c r="A345" s="75">
        <v>8</v>
      </c>
      <c r="B345" s="76" t="s">
        <v>605</v>
      </c>
      <c r="C345" s="86">
        <v>1877.89</v>
      </c>
      <c r="D345" s="86">
        <v>1951.91</v>
      </c>
      <c r="E345" s="76"/>
    </row>
    <row r="346" spans="1:5" ht="16.05" customHeight="1" x14ac:dyDescent="0.3">
      <c r="A346" s="69">
        <v>9</v>
      </c>
      <c r="B346" s="70" t="s">
        <v>606</v>
      </c>
      <c r="C346" s="87">
        <v>121.23</v>
      </c>
      <c r="D346" s="87">
        <v>107.71</v>
      </c>
      <c r="E346" s="70"/>
    </row>
    <row r="347" spans="1:5" ht="16.05" customHeight="1" x14ac:dyDescent="0.3">
      <c r="A347" s="75">
        <v>10</v>
      </c>
      <c r="B347" s="76" t="s">
        <v>607</v>
      </c>
      <c r="C347" s="86">
        <v>771.95</v>
      </c>
      <c r="D347" s="86">
        <v>616.39</v>
      </c>
      <c r="E347" s="76"/>
    </row>
    <row r="348" spans="1:5" ht="16.05" customHeight="1" x14ac:dyDescent="0.3">
      <c r="A348" s="69">
        <v>11</v>
      </c>
      <c r="B348" s="70" t="s">
        <v>395</v>
      </c>
      <c r="C348" s="87">
        <v>2679.35</v>
      </c>
      <c r="D348" s="87">
        <v>2708.54</v>
      </c>
      <c r="E348" s="70"/>
    </row>
    <row r="349" spans="1:5" ht="16.05" customHeight="1" x14ac:dyDescent="0.3">
      <c r="A349" s="81">
        <v>12</v>
      </c>
      <c r="B349" s="82" t="s">
        <v>608</v>
      </c>
      <c r="C349" s="135">
        <v>58724.54</v>
      </c>
      <c r="D349" s="135">
        <v>66979.02</v>
      </c>
      <c r="E349" s="84"/>
    </row>
    <row r="350" spans="1:5" ht="16.05" customHeight="1" x14ac:dyDescent="0.3">
      <c r="A350" s="69">
        <v>13</v>
      </c>
      <c r="B350" s="70" t="s">
        <v>609</v>
      </c>
      <c r="C350" s="87">
        <v>-9771.65</v>
      </c>
      <c r="D350" s="87">
        <v>-9360.18</v>
      </c>
      <c r="E350" s="70"/>
    </row>
    <row r="351" spans="1:5" ht="16.95" customHeight="1" x14ac:dyDescent="0.3">
      <c r="A351" s="78"/>
      <c r="B351" s="79" t="s">
        <v>610</v>
      </c>
      <c r="C351" s="88">
        <v>48952.89</v>
      </c>
      <c r="D351" s="88">
        <v>57618.84</v>
      </c>
      <c r="E351" s="79"/>
    </row>
    <row r="352" spans="1:5" ht="7.95" customHeight="1" x14ac:dyDescent="0.3"/>
    <row r="353" spans="1:5" ht="19.95" customHeight="1" x14ac:dyDescent="0.3">
      <c r="A353" s="158" t="s">
        <v>611</v>
      </c>
      <c r="B353" s="149"/>
      <c r="C353" s="149"/>
      <c r="D353" s="149"/>
      <c r="E353" s="149"/>
    </row>
    <row r="354" spans="1:5" ht="30" customHeight="1" x14ac:dyDescent="0.3">
      <c r="A354" s="74" t="s">
        <v>97</v>
      </c>
      <c r="B354" s="74" t="s">
        <v>2</v>
      </c>
      <c r="C354" s="74" t="s">
        <v>3</v>
      </c>
      <c r="D354" s="74" t="s">
        <v>4</v>
      </c>
      <c r="E354" s="74"/>
    </row>
    <row r="355" spans="1:5" ht="16.05" customHeight="1" x14ac:dyDescent="0.3">
      <c r="A355" s="69">
        <v>1</v>
      </c>
      <c r="B355" s="70" t="s">
        <v>612</v>
      </c>
      <c r="C355" s="90">
        <v>11734.1</v>
      </c>
      <c r="D355" s="90">
        <v>8606.57</v>
      </c>
      <c r="E355" s="70"/>
    </row>
    <row r="356" spans="1:5" ht="16.05" customHeight="1" x14ac:dyDescent="0.3">
      <c r="A356" s="75">
        <v>2</v>
      </c>
      <c r="B356" s="76" t="s">
        <v>613</v>
      </c>
      <c r="C356" s="89">
        <v>4195.8</v>
      </c>
      <c r="D356" s="89">
        <v>3899.83</v>
      </c>
      <c r="E356" s="76"/>
    </row>
    <row r="357" spans="1:5" ht="16.05" customHeight="1" x14ac:dyDescent="0.3">
      <c r="A357" s="69">
        <v>3</v>
      </c>
      <c r="B357" s="70" t="s">
        <v>614</v>
      </c>
      <c r="C357" s="90">
        <v>4111.42</v>
      </c>
      <c r="D357" s="90">
        <v>4182</v>
      </c>
      <c r="E357" s="70"/>
    </row>
    <row r="358" spans="1:5" ht="16.05" customHeight="1" x14ac:dyDescent="0.3">
      <c r="A358" s="81">
        <v>4</v>
      </c>
      <c r="B358" s="82" t="s">
        <v>615</v>
      </c>
      <c r="C358" s="134">
        <v>20041.32</v>
      </c>
      <c r="D358" s="134">
        <v>16688.400000000001</v>
      </c>
      <c r="E358" s="84"/>
    </row>
    <row r="359" spans="1:5" ht="16.05" customHeight="1" x14ac:dyDescent="0.3">
      <c r="A359" s="69">
        <v>5</v>
      </c>
      <c r="B359" s="70" t="s">
        <v>616</v>
      </c>
      <c r="C359" s="90">
        <v>-10380.5</v>
      </c>
      <c r="D359" s="90">
        <v>-11734.1</v>
      </c>
      <c r="E359" s="70"/>
    </row>
    <row r="360" spans="1:5" ht="16.05" customHeight="1" x14ac:dyDescent="0.3">
      <c r="A360" s="75">
        <v>6</v>
      </c>
      <c r="B360" s="76" t="s">
        <v>617</v>
      </c>
      <c r="C360" s="89">
        <v>-5520.35</v>
      </c>
      <c r="D360" s="89">
        <v>-4195.8</v>
      </c>
      <c r="E360" s="76"/>
    </row>
    <row r="361" spans="1:5" ht="16.05" customHeight="1" x14ac:dyDescent="0.3">
      <c r="A361" s="69">
        <v>7</v>
      </c>
      <c r="B361" s="70" t="s">
        <v>618</v>
      </c>
      <c r="C361" s="90">
        <v>-4048.34</v>
      </c>
      <c r="D361" s="90">
        <v>-4111.42</v>
      </c>
      <c r="E361" s="70"/>
    </row>
    <row r="362" spans="1:5" ht="16.05" customHeight="1" x14ac:dyDescent="0.3">
      <c r="A362" s="81">
        <v>8</v>
      </c>
      <c r="B362" s="82" t="s">
        <v>619</v>
      </c>
      <c r="C362" s="134">
        <v>-19949.189999999999</v>
      </c>
      <c r="D362" s="134">
        <v>-20041.32</v>
      </c>
      <c r="E362" s="84"/>
    </row>
    <row r="363" spans="1:5" ht="16.95" customHeight="1" x14ac:dyDescent="0.3">
      <c r="A363" s="78"/>
      <c r="B363" s="79" t="s">
        <v>620</v>
      </c>
      <c r="C363" s="80" t="s">
        <v>621</v>
      </c>
      <c r="D363" s="80" t="s">
        <v>622</v>
      </c>
      <c r="E363" s="79"/>
    </row>
    <row r="364" spans="1:5" ht="7.95" customHeight="1" x14ac:dyDescent="0.3"/>
    <row r="365" spans="1:5" ht="19.95" customHeight="1" x14ac:dyDescent="0.3">
      <c r="A365" s="158" t="s">
        <v>623</v>
      </c>
      <c r="B365" s="149"/>
      <c r="C365" s="149"/>
      <c r="D365" s="149"/>
      <c r="E365" s="149"/>
    </row>
    <row r="366" spans="1:5" ht="30" customHeight="1" x14ac:dyDescent="0.3">
      <c r="A366" s="74" t="s">
        <v>97</v>
      </c>
      <c r="B366" s="74" t="s">
        <v>2</v>
      </c>
      <c r="C366" s="74" t="s">
        <v>3</v>
      </c>
      <c r="D366" s="74" t="s">
        <v>4</v>
      </c>
      <c r="E366" s="74"/>
    </row>
    <row r="367" spans="1:5" ht="16.05" customHeight="1" x14ac:dyDescent="0.3">
      <c r="A367" s="69">
        <v>1</v>
      </c>
      <c r="B367" s="70" t="s">
        <v>624</v>
      </c>
      <c r="C367" s="90">
        <v>8626.43</v>
      </c>
      <c r="D367" s="90">
        <v>8733.4500000000007</v>
      </c>
      <c r="E367" s="70"/>
    </row>
    <row r="368" spans="1:5" ht="16.05" customHeight="1" x14ac:dyDescent="0.3">
      <c r="A368" s="75">
        <v>2</v>
      </c>
      <c r="B368" s="76" t="s">
        <v>625</v>
      </c>
      <c r="C368" s="89">
        <v>970.37</v>
      </c>
      <c r="D368" s="89">
        <v>791.81</v>
      </c>
      <c r="E368" s="76"/>
    </row>
    <row r="369" spans="1:5" ht="16.05" customHeight="1" x14ac:dyDescent="0.3">
      <c r="A369" s="69">
        <v>3</v>
      </c>
      <c r="B369" s="70" t="s">
        <v>626</v>
      </c>
      <c r="C369" s="90">
        <v>1289.54</v>
      </c>
      <c r="D369" s="90">
        <v>1436.56</v>
      </c>
      <c r="E369" s="70"/>
    </row>
    <row r="370" spans="1:5" ht="16.05" customHeight="1" x14ac:dyDescent="0.3">
      <c r="A370" s="75">
        <v>4</v>
      </c>
      <c r="B370" s="76" t="s">
        <v>627</v>
      </c>
      <c r="C370" s="89">
        <v>0.04</v>
      </c>
      <c r="D370" s="77" t="s">
        <v>111</v>
      </c>
      <c r="E370" s="76"/>
    </row>
    <row r="371" spans="1:5" ht="16.05" customHeight="1" x14ac:dyDescent="0.3">
      <c r="A371" s="69">
        <v>5</v>
      </c>
      <c r="B371" s="70" t="s">
        <v>628</v>
      </c>
      <c r="C371" s="90">
        <v>553</v>
      </c>
      <c r="D371" s="90">
        <v>558.48</v>
      </c>
      <c r="E371" s="70"/>
    </row>
    <row r="372" spans="1:5" ht="16.05" customHeight="1" x14ac:dyDescent="0.3">
      <c r="A372" s="75">
        <v>6</v>
      </c>
      <c r="B372" s="76" t="s">
        <v>629</v>
      </c>
      <c r="C372" s="89">
        <v>219.16</v>
      </c>
      <c r="D372" s="89">
        <v>227.62</v>
      </c>
      <c r="E372" s="76"/>
    </row>
    <row r="373" spans="1:5" ht="16.95" customHeight="1" x14ac:dyDescent="0.3">
      <c r="A373" s="78"/>
      <c r="B373" s="79" t="s">
        <v>630</v>
      </c>
      <c r="C373" s="91">
        <v>11658.54</v>
      </c>
      <c r="D373" s="91">
        <v>11747.92</v>
      </c>
      <c r="E373" s="79"/>
    </row>
    <row r="374" spans="1:5" ht="7.95" customHeight="1" x14ac:dyDescent="0.3"/>
    <row r="375" spans="1:5" ht="19.95" customHeight="1" x14ac:dyDescent="0.3">
      <c r="A375" s="158" t="s">
        <v>631</v>
      </c>
      <c r="B375" s="149"/>
      <c r="C375" s="149"/>
      <c r="D375" s="149"/>
      <c r="E375" s="149"/>
    </row>
    <row r="376" spans="1:5" ht="30" customHeight="1" x14ac:dyDescent="0.3">
      <c r="A376" s="74" t="s">
        <v>97</v>
      </c>
      <c r="B376" s="74" t="s">
        <v>2</v>
      </c>
      <c r="C376" s="74" t="s">
        <v>3</v>
      </c>
      <c r="D376" s="74" t="s">
        <v>4</v>
      </c>
      <c r="E376" s="74"/>
    </row>
    <row r="377" spans="1:5" ht="16.05" customHeight="1" x14ac:dyDescent="0.3">
      <c r="A377" s="69">
        <v>1</v>
      </c>
      <c r="B377" s="70" t="s">
        <v>632</v>
      </c>
      <c r="C377" s="90">
        <v>22.8</v>
      </c>
      <c r="D377" s="90">
        <v>25.3</v>
      </c>
      <c r="E377" s="70"/>
    </row>
    <row r="378" spans="1:5" ht="16.05" customHeight="1" x14ac:dyDescent="0.3">
      <c r="A378" s="75">
        <v>2</v>
      </c>
      <c r="B378" s="76" t="s">
        <v>633</v>
      </c>
      <c r="C378" s="89">
        <v>34.33</v>
      </c>
      <c r="D378" s="89">
        <v>101.49</v>
      </c>
      <c r="E378" s="76"/>
    </row>
    <row r="379" spans="1:5" ht="16.05" customHeight="1" x14ac:dyDescent="0.3">
      <c r="A379" s="69">
        <v>3</v>
      </c>
      <c r="B379" s="70" t="s">
        <v>634</v>
      </c>
      <c r="C379" s="90">
        <v>47.18</v>
      </c>
      <c r="D379" s="90">
        <v>18.55</v>
      </c>
      <c r="E379" s="70"/>
    </row>
    <row r="380" spans="1:5" ht="16.05" customHeight="1" x14ac:dyDescent="0.3">
      <c r="A380" s="75">
        <v>4</v>
      </c>
      <c r="B380" s="76" t="s">
        <v>635</v>
      </c>
      <c r="C380" s="89">
        <v>9.7100000000000009</v>
      </c>
      <c r="D380" s="89">
        <v>9.2899999999999991</v>
      </c>
      <c r="E380" s="76"/>
    </row>
    <row r="381" spans="1:5" ht="16.05" customHeight="1" x14ac:dyDescent="0.3">
      <c r="A381" s="69">
        <v>5</v>
      </c>
      <c r="B381" s="70" t="s">
        <v>636</v>
      </c>
      <c r="C381" s="90">
        <v>2637.44</v>
      </c>
      <c r="D381" s="90">
        <v>2256.7600000000002</v>
      </c>
      <c r="E381" s="70"/>
    </row>
    <row r="382" spans="1:5" ht="16.05" customHeight="1" x14ac:dyDescent="0.3">
      <c r="A382" s="75">
        <v>6</v>
      </c>
      <c r="B382" s="76" t="s">
        <v>637</v>
      </c>
      <c r="C382" s="89">
        <v>7.59</v>
      </c>
      <c r="D382" s="89">
        <v>2.74</v>
      </c>
      <c r="E382" s="76"/>
    </row>
    <row r="383" spans="1:5" ht="16.05" customHeight="1" x14ac:dyDescent="0.3">
      <c r="A383" s="69">
        <v>7</v>
      </c>
      <c r="B383" s="70" t="s">
        <v>638</v>
      </c>
      <c r="C383" s="90">
        <v>33.72</v>
      </c>
      <c r="D383" s="90">
        <v>59.68</v>
      </c>
      <c r="E383" s="70"/>
    </row>
    <row r="384" spans="1:5" ht="16.95" customHeight="1" x14ac:dyDescent="0.3">
      <c r="A384" s="78"/>
      <c r="B384" s="79" t="s">
        <v>639</v>
      </c>
      <c r="C384" s="91">
        <v>2792.77</v>
      </c>
      <c r="D384" s="91">
        <v>2473.81</v>
      </c>
      <c r="E384" s="79"/>
    </row>
    <row r="385" spans="1:5" ht="7.95" customHeight="1" x14ac:dyDescent="0.3"/>
    <row r="386" spans="1:5" ht="19.95" customHeight="1" x14ac:dyDescent="0.3">
      <c r="A386" s="158" t="s">
        <v>640</v>
      </c>
      <c r="B386" s="149"/>
      <c r="C386" s="149"/>
      <c r="D386" s="149"/>
      <c r="E386" s="149"/>
    </row>
    <row r="387" spans="1:5" ht="30" customHeight="1" x14ac:dyDescent="0.3">
      <c r="A387" s="74" t="s">
        <v>97</v>
      </c>
      <c r="B387" s="74" t="s">
        <v>2</v>
      </c>
      <c r="C387" s="74" t="s">
        <v>3</v>
      </c>
      <c r="D387" s="74" t="s">
        <v>4</v>
      </c>
      <c r="E387" s="74"/>
    </row>
    <row r="388" spans="1:5" ht="16.05" customHeight="1" x14ac:dyDescent="0.3">
      <c r="A388" s="69">
        <v>1</v>
      </c>
      <c r="B388" s="70" t="s">
        <v>641</v>
      </c>
      <c r="C388" s="90">
        <v>5048.63</v>
      </c>
      <c r="D388" s="90">
        <v>5062.6899999999996</v>
      </c>
      <c r="E388" s="70"/>
    </row>
    <row r="389" spans="1:5" ht="16.05" customHeight="1" x14ac:dyDescent="0.3">
      <c r="A389" s="75">
        <v>2</v>
      </c>
      <c r="B389" s="76" t="s">
        <v>642</v>
      </c>
      <c r="C389" s="89">
        <v>349.13</v>
      </c>
      <c r="D389" s="89">
        <v>311.16000000000003</v>
      </c>
      <c r="E389" s="76"/>
    </row>
    <row r="390" spans="1:5" ht="16.05" customHeight="1" x14ac:dyDescent="0.3">
      <c r="A390" s="69">
        <v>3</v>
      </c>
      <c r="B390" s="70" t="s">
        <v>643</v>
      </c>
      <c r="C390" s="90">
        <v>1688.94</v>
      </c>
      <c r="D390" s="90">
        <v>1463.44</v>
      </c>
      <c r="E390" s="70"/>
    </row>
    <row r="391" spans="1:5" ht="16.05" customHeight="1" x14ac:dyDescent="0.3">
      <c r="A391" s="75">
        <v>4</v>
      </c>
      <c r="B391" s="76" t="s">
        <v>644</v>
      </c>
      <c r="C391" s="89">
        <v>544.22</v>
      </c>
      <c r="D391" s="89">
        <v>508.66</v>
      </c>
      <c r="E391" s="76"/>
    </row>
    <row r="392" spans="1:5" ht="16.05" customHeight="1" x14ac:dyDescent="0.3">
      <c r="A392" s="81">
        <v>5</v>
      </c>
      <c r="B392" s="82" t="s">
        <v>645</v>
      </c>
      <c r="C392" s="134">
        <v>2582.29</v>
      </c>
      <c r="D392" s="134">
        <v>2283.2600000000002</v>
      </c>
      <c r="E392" s="84"/>
    </row>
    <row r="393" spans="1:5" ht="16.05" customHeight="1" x14ac:dyDescent="0.3">
      <c r="A393" s="75">
        <v>6</v>
      </c>
      <c r="B393" s="76" t="s">
        <v>646</v>
      </c>
      <c r="C393" s="89">
        <v>1168.69</v>
      </c>
      <c r="D393" s="89">
        <v>906.76</v>
      </c>
      <c r="E393" s="76"/>
    </row>
    <row r="394" spans="1:5" ht="16.05" customHeight="1" x14ac:dyDescent="0.3">
      <c r="A394" s="69">
        <v>7</v>
      </c>
      <c r="B394" s="70" t="s">
        <v>647</v>
      </c>
      <c r="C394" s="90">
        <v>331.96</v>
      </c>
      <c r="D394" s="90">
        <v>307.43</v>
      </c>
      <c r="E394" s="70"/>
    </row>
    <row r="395" spans="1:5" ht="16.05" customHeight="1" x14ac:dyDescent="0.3">
      <c r="A395" s="81">
        <v>8</v>
      </c>
      <c r="B395" s="82" t="s">
        <v>648</v>
      </c>
      <c r="C395" s="134">
        <v>1500.65</v>
      </c>
      <c r="D395" s="134">
        <v>1214.19</v>
      </c>
      <c r="E395" s="84"/>
    </row>
    <row r="396" spans="1:5" ht="16.05" customHeight="1" x14ac:dyDescent="0.3">
      <c r="A396" s="69">
        <v>9</v>
      </c>
      <c r="B396" s="70" t="s">
        <v>649</v>
      </c>
      <c r="C396" s="90">
        <v>3.35</v>
      </c>
      <c r="D396" s="90">
        <v>2.73</v>
      </c>
      <c r="E396" s="70"/>
    </row>
    <row r="397" spans="1:5" ht="16.05" customHeight="1" x14ac:dyDescent="0.3">
      <c r="A397" s="75">
        <v>10</v>
      </c>
      <c r="B397" s="76" t="s">
        <v>650</v>
      </c>
      <c r="C397" s="89">
        <v>1.05</v>
      </c>
      <c r="D397" s="89">
        <v>0.77</v>
      </c>
      <c r="E397" s="76"/>
    </row>
    <row r="398" spans="1:5" ht="16.05" customHeight="1" x14ac:dyDescent="0.3">
      <c r="A398" s="69">
        <v>11</v>
      </c>
      <c r="B398" s="70" t="s">
        <v>651</v>
      </c>
      <c r="C398" s="90">
        <v>1.97</v>
      </c>
      <c r="D398" s="90">
        <v>1.76</v>
      </c>
      <c r="E398" s="70"/>
    </row>
    <row r="399" spans="1:5" ht="16.05" customHeight="1" x14ac:dyDescent="0.3">
      <c r="A399" s="75">
        <v>12</v>
      </c>
      <c r="B399" s="76" t="s">
        <v>652</v>
      </c>
      <c r="C399" s="89">
        <v>0.88</v>
      </c>
      <c r="D399" s="89">
        <v>0.65</v>
      </c>
      <c r="E399" s="76"/>
    </row>
    <row r="400" spans="1:5" ht="16.05" customHeight="1" x14ac:dyDescent="0.3">
      <c r="A400" s="81">
        <v>13</v>
      </c>
      <c r="B400" s="82" t="s">
        <v>653</v>
      </c>
      <c r="C400" s="134">
        <v>7.25</v>
      </c>
      <c r="D400" s="134">
        <v>5.91</v>
      </c>
      <c r="E400" s="84"/>
    </row>
    <row r="401" spans="1:5" ht="16.05" customHeight="1" x14ac:dyDescent="0.3">
      <c r="A401" s="75">
        <v>14</v>
      </c>
      <c r="B401" s="76" t="s">
        <v>654</v>
      </c>
      <c r="C401" s="89">
        <v>164.39</v>
      </c>
      <c r="D401" s="89">
        <v>62.9</v>
      </c>
      <c r="E401" s="76"/>
    </row>
    <row r="402" spans="1:5" ht="16.05" customHeight="1" x14ac:dyDescent="0.3">
      <c r="A402" s="69">
        <v>15</v>
      </c>
      <c r="B402" s="70" t="s">
        <v>655</v>
      </c>
      <c r="C402" s="71" t="s">
        <v>111</v>
      </c>
      <c r="D402" s="90">
        <v>52.51</v>
      </c>
      <c r="E402" s="70"/>
    </row>
    <row r="403" spans="1:5" ht="16.05" customHeight="1" x14ac:dyDescent="0.3">
      <c r="A403" s="75">
        <v>16</v>
      </c>
      <c r="B403" s="76" t="s">
        <v>656</v>
      </c>
      <c r="C403" s="89">
        <v>131.1</v>
      </c>
      <c r="D403" s="89">
        <v>96.16</v>
      </c>
      <c r="E403" s="76"/>
    </row>
    <row r="404" spans="1:5" ht="16.05" customHeight="1" x14ac:dyDescent="0.3">
      <c r="A404" s="81">
        <v>17</v>
      </c>
      <c r="B404" s="82" t="s">
        <v>657</v>
      </c>
      <c r="C404" s="134">
        <v>295.49</v>
      </c>
      <c r="D404" s="134">
        <v>211.57</v>
      </c>
      <c r="E404" s="84"/>
    </row>
    <row r="405" spans="1:5" ht="16.05" customHeight="1" x14ac:dyDescent="0.3">
      <c r="A405" s="75">
        <v>18</v>
      </c>
      <c r="B405" s="76" t="s">
        <v>658</v>
      </c>
      <c r="C405" s="89">
        <v>7574.65</v>
      </c>
      <c r="D405" s="89">
        <v>7534.99</v>
      </c>
      <c r="E405" s="76"/>
    </row>
    <row r="406" spans="1:5" ht="16.05" customHeight="1" x14ac:dyDescent="0.3">
      <c r="A406" s="69">
        <v>19</v>
      </c>
      <c r="B406" s="70" t="s">
        <v>659</v>
      </c>
      <c r="C406" s="90">
        <v>3163.51</v>
      </c>
      <c r="D406" s="90">
        <v>3171.71</v>
      </c>
      <c r="E406" s="70"/>
    </row>
    <row r="407" spans="1:5" ht="16.05" customHeight="1" x14ac:dyDescent="0.3">
      <c r="A407" s="75">
        <v>20</v>
      </c>
      <c r="B407" s="76" t="s">
        <v>660</v>
      </c>
      <c r="C407" s="89">
        <v>5428.31</v>
      </c>
      <c r="D407" s="89">
        <v>5577.16</v>
      </c>
      <c r="E407" s="76"/>
    </row>
    <row r="408" spans="1:5" ht="16.05" customHeight="1" x14ac:dyDescent="0.3">
      <c r="A408" s="69">
        <v>21</v>
      </c>
      <c r="B408" s="70" t="s">
        <v>661</v>
      </c>
      <c r="C408" s="90">
        <v>188.21</v>
      </c>
      <c r="D408" s="90">
        <v>204.28</v>
      </c>
      <c r="E408" s="70"/>
    </row>
    <row r="409" spans="1:5" ht="16.05" customHeight="1" x14ac:dyDescent="0.3">
      <c r="A409" s="75">
        <v>22</v>
      </c>
      <c r="B409" s="76" t="s">
        <v>662</v>
      </c>
      <c r="C409" s="89">
        <v>69.53</v>
      </c>
      <c r="D409" s="89">
        <v>88.59</v>
      </c>
      <c r="E409" s="76"/>
    </row>
    <row r="410" spans="1:5" ht="16.05" customHeight="1" x14ac:dyDescent="0.3">
      <c r="A410" s="69">
        <v>23</v>
      </c>
      <c r="B410" s="70" t="s">
        <v>663</v>
      </c>
      <c r="C410" s="90">
        <v>322.02999999999997</v>
      </c>
      <c r="D410" s="90">
        <v>179.6</v>
      </c>
      <c r="E410" s="70"/>
    </row>
    <row r="411" spans="1:5" ht="16.05" customHeight="1" x14ac:dyDescent="0.3">
      <c r="A411" s="75">
        <v>24</v>
      </c>
      <c r="B411" s="76" t="s">
        <v>664</v>
      </c>
      <c r="C411" s="89">
        <v>98.54</v>
      </c>
      <c r="D411" s="89">
        <v>87.24</v>
      </c>
      <c r="E411" s="76"/>
    </row>
    <row r="412" spans="1:5" ht="16.05" customHeight="1" x14ac:dyDescent="0.3">
      <c r="A412" s="69">
        <v>25</v>
      </c>
      <c r="B412" s="70" t="s">
        <v>665</v>
      </c>
      <c r="C412" s="90">
        <v>896.77</v>
      </c>
      <c r="D412" s="90">
        <v>825.32</v>
      </c>
      <c r="E412" s="70"/>
    </row>
    <row r="413" spans="1:5" ht="16.05" customHeight="1" x14ac:dyDescent="0.3">
      <c r="A413" s="75">
        <v>26</v>
      </c>
      <c r="B413" s="76" t="s">
        <v>666</v>
      </c>
      <c r="C413" s="89">
        <v>88.26</v>
      </c>
      <c r="D413" s="89">
        <v>78.45</v>
      </c>
      <c r="E413" s="76"/>
    </row>
    <row r="414" spans="1:5" ht="16.05" customHeight="1" x14ac:dyDescent="0.3">
      <c r="A414" s="69">
        <v>27</v>
      </c>
      <c r="B414" s="70" t="s">
        <v>667</v>
      </c>
      <c r="C414" s="90">
        <v>42.44</v>
      </c>
      <c r="D414" s="90">
        <v>29.07</v>
      </c>
      <c r="E414" s="70"/>
    </row>
    <row r="415" spans="1:5" ht="16.05" customHeight="1" x14ac:dyDescent="0.3">
      <c r="A415" s="75">
        <v>28</v>
      </c>
      <c r="B415" s="76" t="s">
        <v>668</v>
      </c>
      <c r="C415" s="89">
        <v>87.88</v>
      </c>
      <c r="D415" s="89">
        <v>91.32</v>
      </c>
      <c r="E415" s="76"/>
    </row>
    <row r="416" spans="1:5" ht="16.05" customHeight="1" x14ac:dyDescent="0.3">
      <c r="A416" s="69">
        <v>29</v>
      </c>
      <c r="B416" s="70" t="s">
        <v>669</v>
      </c>
      <c r="C416" s="90">
        <v>138.09</v>
      </c>
      <c r="D416" s="90">
        <v>161.93</v>
      </c>
      <c r="E416" s="70"/>
    </row>
    <row r="417" spans="1:5" ht="16.05" customHeight="1" x14ac:dyDescent="0.3">
      <c r="A417" s="75">
        <v>30</v>
      </c>
      <c r="B417" s="76" t="s">
        <v>670</v>
      </c>
      <c r="C417" s="89">
        <v>220.73</v>
      </c>
      <c r="D417" s="89">
        <v>181.17</v>
      </c>
      <c r="E417" s="76"/>
    </row>
    <row r="418" spans="1:5" ht="16.05" customHeight="1" x14ac:dyDescent="0.3">
      <c r="A418" s="69">
        <v>31</v>
      </c>
      <c r="B418" s="70" t="s">
        <v>671</v>
      </c>
      <c r="C418" s="90">
        <v>43.93</v>
      </c>
      <c r="D418" s="71" t="s">
        <v>111</v>
      </c>
      <c r="E418" s="70"/>
    </row>
    <row r="419" spans="1:5" ht="16.05" customHeight="1" x14ac:dyDescent="0.3">
      <c r="A419" s="75">
        <v>32</v>
      </c>
      <c r="B419" s="76" t="s">
        <v>672</v>
      </c>
      <c r="C419" s="89">
        <v>294.02</v>
      </c>
      <c r="D419" s="89">
        <v>268.10000000000002</v>
      </c>
      <c r="E419" s="76"/>
    </row>
    <row r="420" spans="1:5" ht="16.05" customHeight="1" x14ac:dyDescent="0.3">
      <c r="A420" s="69">
        <v>33</v>
      </c>
      <c r="B420" s="70" t="s">
        <v>673</v>
      </c>
      <c r="C420" s="90">
        <v>12.02</v>
      </c>
      <c r="D420" s="90">
        <v>9.6199999999999992</v>
      </c>
      <c r="E420" s="70"/>
    </row>
    <row r="421" spans="1:5" ht="16.05" customHeight="1" x14ac:dyDescent="0.3">
      <c r="A421" s="75">
        <v>34</v>
      </c>
      <c r="B421" s="76" t="s">
        <v>674</v>
      </c>
      <c r="C421" s="89">
        <v>15.58</v>
      </c>
      <c r="D421" s="89">
        <v>34.65</v>
      </c>
      <c r="E421" s="76"/>
    </row>
    <row r="422" spans="1:5" ht="16.05" customHeight="1" x14ac:dyDescent="0.3">
      <c r="A422" s="69">
        <v>35</v>
      </c>
      <c r="B422" s="70" t="s">
        <v>675</v>
      </c>
      <c r="C422" s="90">
        <v>1065.21</v>
      </c>
      <c r="D422" s="90">
        <v>837.34</v>
      </c>
      <c r="E422" s="70"/>
    </row>
    <row r="423" spans="1:5" ht="16.95" customHeight="1" x14ac:dyDescent="0.3">
      <c r="A423" s="78"/>
      <c r="B423" s="79" t="s">
        <v>676</v>
      </c>
      <c r="C423" s="80" t="s">
        <v>677</v>
      </c>
      <c r="D423" s="80" t="s">
        <v>678</v>
      </c>
      <c r="E423" s="79"/>
    </row>
  </sheetData>
  <mergeCells count="40">
    <mergeCell ref="A1:E1"/>
    <mergeCell ref="A36:E36"/>
    <mergeCell ref="A353:E353"/>
    <mergeCell ref="A110:E110"/>
    <mergeCell ref="A124:E124"/>
    <mergeCell ref="A41:E41"/>
    <mergeCell ref="A246:E246"/>
    <mergeCell ref="A3:E3"/>
    <mergeCell ref="A55:E55"/>
    <mergeCell ref="A2:E2"/>
    <mergeCell ref="A5:E5"/>
    <mergeCell ref="A14:E14"/>
    <mergeCell ref="A22:E22"/>
    <mergeCell ref="A314:E314"/>
    <mergeCell ref="A83:E83"/>
    <mergeCell ref="A148:E148"/>
    <mergeCell ref="A74:E74"/>
    <mergeCell ref="A282:E282"/>
    <mergeCell ref="A365:E365"/>
    <mergeCell ref="A301:E301"/>
    <mergeCell ref="A101:E101"/>
    <mergeCell ref="A204:E204"/>
    <mergeCell ref="A213:E213"/>
    <mergeCell ref="A269:E269"/>
    <mergeCell ref="A159:E159"/>
    <mergeCell ref="A253:E253"/>
    <mergeCell ref="A184:E184"/>
    <mergeCell ref="A143:E143"/>
    <mergeCell ref="A92:E92"/>
    <mergeCell ref="A207:E207"/>
    <mergeCell ref="A182:E182"/>
    <mergeCell ref="A386:E386"/>
    <mergeCell ref="A200:E200"/>
    <mergeCell ref="A336:E336"/>
    <mergeCell ref="A199:E199"/>
    <mergeCell ref="A230:E230"/>
    <mergeCell ref="A293:E293"/>
    <mergeCell ref="A220:E220"/>
    <mergeCell ref="A375:E375"/>
    <mergeCell ref="A236:E2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2"/>
  <sheetViews>
    <sheetView showGridLines="0" topLeftCell="A33" zoomScaleNormal="100" workbookViewId="0">
      <selection sqref="A1:D60"/>
    </sheetView>
  </sheetViews>
  <sheetFormatPr defaultColWidth="8.6640625" defaultRowHeight="14.4" x14ac:dyDescent="0.3"/>
  <cols>
    <col min="1" max="1" width="52" style="52" customWidth="1"/>
    <col min="2" max="4" width="20" style="52" customWidth="1"/>
  </cols>
  <sheetData>
    <row r="1" spans="1:4" ht="31.5" customHeight="1" x14ac:dyDescent="0.3">
      <c r="A1" s="152" t="s">
        <v>679</v>
      </c>
      <c r="B1" s="149"/>
      <c r="C1" s="149"/>
      <c r="D1" s="149"/>
    </row>
    <row r="2" spans="1:4" ht="18" customHeight="1" x14ac:dyDescent="0.3">
      <c r="A2" s="153" t="s">
        <v>1</v>
      </c>
      <c r="B2" s="149"/>
      <c r="C2" s="149"/>
      <c r="D2" s="149"/>
    </row>
    <row r="3" spans="1:4" ht="21.75" customHeight="1" x14ac:dyDescent="0.3">
      <c r="A3" s="1" t="s">
        <v>2</v>
      </c>
      <c r="B3" s="2" t="s">
        <v>3</v>
      </c>
      <c r="C3" s="2" t="s">
        <v>4</v>
      </c>
      <c r="D3" s="2" t="s">
        <v>5</v>
      </c>
    </row>
    <row r="4" spans="1:4" ht="18" customHeight="1" x14ac:dyDescent="0.3">
      <c r="A4" s="151" t="s">
        <v>6</v>
      </c>
      <c r="B4" s="149"/>
      <c r="C4" s="149"/>
      <c r="D4" s="149"/>
    </row>
    <row r="5" spans="1:4" ht="18" customHeight="1" x14ac:dyDescent="0.3">
      <c r="A5" s="148" t="s">
        <v>7</v>
      </c>
      <c r="B5" s="149"/>
      <c r="C5" s="149"/>
      <c r="D5" s="149"/>
    </row>
    <row r="6" spans="1:4" x14ac:dyDescent="0.3">
      <c r="A6" s="3" t="s">
        <v>8</v>
      </c>
      <c r="B6" s="4">
        <v>65061.37</v>
      </c>
      <c r="C6" s="4">
        <v>65415.07</v>
      </c>
      <c r="D6" s="5">
        <f t="shared" ref="D6:D19" si="0">B6-C6</f>
        <v>-353.69999999999709</v>
      </c>
    </row>
    <row r="7" spans="1:4" x14ac:dyDescent="0.3">
      <c r="A7" s="3" t="s">
        <v>9</v>
      </c>
      <c r="B7" s="4">
        <v>7206.21</v>
      </c>
      <c r="C7" s="4">
        <v>6140.57</v>
      </c>
      <c r="D7" s="5">
        <f t="shared" si="0"/>
        <v>1065.6400000000003</v>
      </c>
    </row>
    <row r="8" spans="1:4" x14ac:dyDescent="0.3">
      <c r="A8" s="3" t="s">
        <v>10</v>
      </c>
      <c r="B8" s="4">
        <v>6838.6</v>
      </c>
      <c r="C8" s="4">
        <v>5521.19</v>
      </c>
      <c r="D8" s="5">
        <f t="shared" si="0"/>
        <v>1317.4100000000008</v>
      </c>
    </row>
    <row r="9" spans="1:4" x14ac:dyDescent="0.3">
      <c r="A9" s="3" t="s">
        <v>11</v>
      </c>
      <c r="B9" s="4">
        <v>0.96</v>
      </c>
      <c r="C9" s="4">
        <v>0.99</v>
      </c>
      <c r="D9" s="5">
        <f t="shared" si="0"/>
        <v>-3.0000000000000027E-2</v>
      </c>
    </row>
    <row r="10" spans="1:4" x14ac:dyDescent="0.3">
      <c r="A10" s="3" t="s">
        <v>12</v>
      </c>
      <c r="B10" s="4">
        <v>1425.71</v>
      </c>
      <c r="C10" s="4">
        <v>1488.86</v>
      </c>
      <c r="D10" s="5">
        <f t="shared" si="0"/>
        <v>-63.149999999999864</v>
      </c>
    </row>
    <row r="11" spans="1:4" x14ac:dyDescent="0.3">
      <c r="A11" s="3" t="s">
        <v>680</v>
      </c>
      <c r="B11" s="4">
        <v>4603.25</v>
      </c>
      <c r="C11" s="4">
        <v>4278.55</v>
      </c>
      <c r="D11" s="5">
        <f t="shared" si="0"/>
        <v>324.69999999999982</v>
      </c>
    </row>
    <row r="12" spans="1:4" x14ac:dyDescent="0.3">
      <c r="A12" s="3" t="s">
        <v>13</v>
      </c>
      <c r="B12" s="4">
        <v>4591.88</v>
      </c>
      <c r="C12" s="4">
        <v>4625.29</v>
      </c>
      <c r="D12" s="5">
        <f t="shared" si="0"/>
        <v>-33.409999999999854</v>
      </c>
    </row>
    <row r="13" spans="1:4" x14ac:dyDescent="0.3">
      <c r="A13" s="3" t="s">
        <v>14</v>
      </c>
      <c r="B13" s="4">
        <v>372.33</v>
      </c>
      <c r="C13" s="4">
        <v>310.47000000000003</v>
      </c>
      <c r="D13" s="5">
        <f t="shared" si="0"/>
        <v>61.859999999999957</v>
      </c>
    </row>
    <row r="14" spans="1:4" x14ac:dyDescent="0.3">
      <c r="A14" s="3" t="s">
        <v>15</v>
      </c>
      <c r="B14" s="4">
        <v>0</v>
      </c>
      <c r="C14" s="4">
        <v>0</v>
      </c>
      <c r="D14" s="5">
        <f t="shared" si="0"/>
        <v>0</v>
      </c>
    </row>
    <row r="15" spans="1:4" x14ac:dyDescent="0.3">
      <c r="A15" s="3" t="s">
        <v>16</v>
      </c>
      <c r="B15" s="4">
        <v>950.93</v>
      </c>
      <c r="C15" s="4">
        <v>877.37</v>
      </c>
      <c r="D15" s="5">
        <f t="shared" si="0"/>
        <v>73.559999999999945</v>
      </c>
    </row>
    <row r="16" spans="1:4" x14ac:dyDescent="0.3">
      <c r="A16" s="3" t="s">
        <v>17</v>
      </c>
      <c r="B16" s="4">
        <v>623.13</v>
      </c>
      <c r="C16" s="4">
        <v>444.96</v>
      </c>
      <c r="D16" s="5">
        <f t="shared" si="0"/>
        <v>178.17000000000002</v>
      </c>
    </row>
    <row r="17" spans="1:4" x14ac:dyDescent="0.3">
      <c r="A17" s="3" t="s">
        <v>18</v>
      </c>
      <c r="B17" s="4">
        <v>452.14</v>
      </c>
      <c r="C17" s="4">
        <v>374.78</v>
      </c>
      <c r="D17" s="5">
        <f t="shared" si="0"/>
        <v>77.360000000000014</v>
      </c>
    </row>
    <row r="18" spans="1:4" x14ac:dyDescent="0.3">
      <c r="A18" s="3" t="s">
        <v>19</v>
      </c>
      <c r="B18" s="4">
        <v>2355.9499999999998</v>
      </c>
      <c r="C18" s="4">
        <v>3092.79</v>
      </c>
      <c r="D18" s="5">
        <f t="shared" si="0"/>
        <v>-736.84000000000015</v>
      </c>
    </row>
    <row r="19" spans="1:4" x14ac:dyDescent="0.3">
      <c r="A19" s="6" t="s">
        <v>20</v>
      </c>
      <c r="B19" s="7">
        <f>SUM(B6:B18)</f>
        <v>94482.460000000021</v>
      </c>
      <c r="C19" s="7">
        <f>SUM(C6:C18)</f>
        <v>92570.89</v>
      </c>
      <c r="D19" s="7">
        <f t="shared" si="0"/>
        <v>1911.5700000000215</v>
      </c>
    </row>
    <row r="20" spans="1:4" ht="18" customHeight="1" x14ac:dyDescent="0.3">
      <c r="A20" s="148" t="s">
        <v>21</v>
      </c>
      <c r="B20" s="149"/>
      <c r="C20" s="149"/>
      <c r="D20" s="149"/>
    </row>
    <row r="21" spans="1:4" x14ac:dyDescent="0.3">
      <c r="A21" s="3" t="s">
        <v>22</v>
      </c>
      <c r="B21" s="4">
        <v>29151.45</v>
      </c>
      <c r="C21" s="4">
        <v>32721.45</v>
      </c>
      <c r="D21" s="5">
        <f t="shared" ref="D21:D31" si="1">B21-C21</f>
        <v>-3570</v>
      </c>
    </row>
    <row r="22" spans="1:4" x14ac:dyDescent="0.3">
      <c r="A22" s="3" t="s">
        <v>23</v>
      </c>
      <c r="B22" s="4">
        <v>7609.94</v>
      </c>
      <c r="C22" s="4">
        <v>8355.3700000000008</v>
      </c>
      <c r="D22" s="5">
        <f t="shared" si="1"/>
        <v>-745.4300000000012</v>
      </c>
    </row>
    <row r="23" spans="1:4" x14ac:dyDescent="0.3">
      <c r="A23" s="3" t="s">
        <v>24</v>
      </c>
      <c r="B23" s="4">
        <v>291.58</v>
      </c>
      <c r="C23" s="4">
        <v>69.38</v>
      </c>
      <c r="D23" s="5">
        <f t="shared" si="1"/>
        <v>222.2</v>
      </c>
    </row>
    <row r="24" spans="1:4" x14ac:dyDescent="0.3">
      <c r="A24" s="3" t="s">
        <v>25</v>
      </c>
      <c r="B24" s="4">
        <v>675.3</v>
      </c>
      <c r="C24" s="4">
        <v>603.57000000000005</v>
      </c>
      <c r="D24" s="5">
        <f t="shared" si="1"/>
        <v>71.729999999999905</v>
      </c>
    </row>
    <row r="25" spans="1:4" x14ac:dyDescent="0.3">
      <c r="A25" s="3" t="s">
        <v>26</v>
      </c>
      <c r="B25" s="4">
        <v>22.6</v>
      </c>
      <c r="C25" s="4">
        <v>28.31</v>
      </c>
      <c r="D25" s="5">
        <f t="shared" si="1"/>
        <v>-5.7099999999999973</v>
      </c>
    </row>
    <row r="26" spans="1:4" x14ac:dyDescent="0.3">
      <c r="A26" s="3" t="s">
        <v>27</v>
      </c>
      <c r="B26" s="4">
        <v>1221.76</v>
      </c>
      <c r="C26" s="4">
        <v>1369.07</v>
      </c>
      <c r="D26" s="5">
        <f t="shared" si="1"/>
        <v>-147.30999999999995</v>
      </c>
    </row>
    <row r="27" spans="1:4" x14ac:dyDescent="0.3">
      <c r="A27" s="3" t="s">
        <v>681</v>
      </c>
      <c r="B27" s="4">
        <v>0</v>
      </c>
      <c r="C27" s="4">
        <v>433.11</v>
      </c>
      <c r="D27" s="5">
        <f t="shared" si="1"/>
        <v>-433.11</v>
      </c>
    </row>
    <row r="28" spans="1:4" x14ac:dyDescent="0.3">
      <c r="A28" s="3" t="s">
        <v>29</v>
      </c>
      <c r="B28" s="4">
        <v>2911.95</v>
      </c>
      <c r="C28" s="4">
        <v>4542.32</v>
      </c>
      <c r="D28" s="5">
        <f t="shared" si="1"/>
        <v>-1630.37</v>
      </c>
    </row>
    <row r="29" spans="1:4" x14ac:dyDescent="0.3">
      <c r="A29" s="6" t="s">
        <v>30</v>
      </c>
      <c r="B29" s="7">
        <f>SUM(B21:B28)</f>
        <v>41884.58</v>
      </c>
      <c r="C29" s="7">
        <f>SUM(C21:C28)</f>
        <v>48122.579999999994</v>
      </c>
      <c r="D29" s="7">
        <f t="shared" si="1"/>
        <v>-6237.9999999999927</v>
      </c>
    </row>
    <row r="30" spans="1:4" x14ac:dyDescent="0.3">
      <c r="A30" s="3" t="s">
        <v>31</v>
      </c>
      <c r="B30" s="4">
        <v>3.9</v>
      </c>
      <c r="C30" s="4">
        <v>15.11</v>
      </c>
      <c r="D30" s="5">
        <f t="shared" si="1"/>
        <v>-11.209999999999999</v>
      </c>
    </row>
    <row r="31" spans="1:4" x14ac:dyDescent="0.3">
      <c r="A31" s="6" t="s">
        <v>32</v>
      </c>
      <c r="B31" s="7">
        <f>B19+B29+B30</f>
        <v>136370.94000000003</v>
      </c>
      <c r="C31" s="7">
        <f>C19+C29+C30</f>
        <v>140708.57999999999</v>
      </c>
      <c r="D31" s="7">
        <f t="shared" si="1"/>
        <v>-4337.6399999999558</v>
      </c>
    </row>
    <row r="33" spans="1:4" ht="18" customHeight="1" x14ac:dyDescent="0.3">
      <c r="A33" s="151" t="s">
        <v>33</v>
      </c>
      <c r="B33" s="149"/>
      <c r="C33" s="149"/>
      <c r="D33" s="149"/>
    </row>
    <row r="34" spans="1:4" ht="18" customHeight="1" x14ac:dyDescent="0.3">
      <c r="A34" s="148" t="s">
        <v>34</v>
      </c>
      <c r="B34" s="149"/>
      <c r="C34" s="149"/>
      <c r="D34" s="149"/>
    </row>
    <row r="35" spans="1:4" x14ac:dyDescent="0.3">
      <c r="A35" s="3" t="s">
        <v>35</v>
      </c>
      <c r="B35" s="4">
        <v>4130.53</v>
      </c>
      <c r="C35" s="4">
        <v>4130.53</v>
      </c>
      <c r="D35" s="5">
        <f>B35-C35</f>
        <v>0</v>
      </c>
    </row>
    <row r="36" spans="1:4" x14ac:dyDescent="0.3">
      <c r="A36" s="3" t="s">
        <v>36</v>
      </c>
      <c r="B36" s="4">
        <v>54775.08</v>
      </c>
      <c r="C36" s="4">
        <v>52970.69</v>
      </c>
      <c r="D36" s="5">
        <f>B36-C36</f>
        <v>1804.3899999999994</v>
      </c>
    </row>
    <row r="37" spans="1:4" x14ac:dyDescent="0.3">
      <c r="A37" s="3" t="s">
        <v>682</v>
      </c>
      <c r="B37" s="4">
        <v>-0.01</v>
      </c>
      <c r="C37" s="4">
        <v>0.01</v>
      </c>
      <c r="D37" s="5">
        <f>B37-C37</f>
        <v>-0.02</v>
      </c>
    </row>
    <row r="38" spans="1:4" x14ac:dyDescent="0.3">
      <c r="A38" s="6" t="s">
        <v>37</v>
      </c>
      <c r="B38" s="7">
        <f>SUM(B35:B37)</f>
        <v>58905.599999999999</v>
      </c>
      <c r="C38" s="7">
        <f>SUM(C35:C37)</f>
        <v>57101.23</v>
      </c>
      <c r="D38" s="7">
        <f>B38-C38</f>
        <v>1804.3699999999953</v>
      </c>
    </row>
    <row r="39" spans="1:4" ht="18" customHeight="1" x14ac:dyDescent="0.3">
      <c r="A39" s="148" t="s">
        <v>38</v>
      </c>
      <c r="B39" s="149"/>
      <c r="C39" s="149"/>
      <c r="D39" s="149"/>
    </row>
    <row r="40" spans="1:4" x14ac:dyDescent="0.3">
      <c r="A40" s="3" t="s">
        <v>39</v>
      </c>
      <c r="B40" s="4">
        <v>10100.950000000001</v>
      </c>
      <c r="C40" s="4">
        <v>9568.2099999999991</v>
      </c>
      <c r="D40" s="5">
        <f t="shared" ref="D40:D48" si="2">B40-C40</f>
        <v>532.7400000000016</v>
      </c>
    </row>
    <row r="41" spans="1:4" x14ac:dyDescent="0.3">
      <c r="A41" s="3" t="s">
        <v>40</v>
      </c>
      <c r="B41" s="4">
        <v>6553.42</v>
      </c>
      <c r="C41" s="4">
        <v>5235.25</v>
      </c>
      <c r="D41" s="5">
        <f t="shared" si="2"/>
        <v>1318.17</v>
      </c>
    </row>
    <row r="42" spans="1:4" x14ac:dyDescent="0.3">
      <c r="A42" s="3" t="s">
        <v>41</v>
      </c>
      <c r="B42" s="4">
        <v>0</v>
      </c>
      <c r="C42" s="4">
        <v>0</v>
      </c>
      <c r="D42" s="5">
        <f t="shared" si="2"/>
        <v>0</v>
      </c>
    </row>
    <row r="43" spans="1:4" x14ac:dyDescent="0.3">
      <c r="A43" s="3" t="s">
        <v>42</v>
      </c>
      <c r="B43" s="4">
        <v>5.93</v>
      </c>
      <c r="C43" s="4">
        <v>6.07</v>
      </c>
      <c r="D43" s="5">
        <f t="shared" si="2"/>
        <v>-0.14000000000000057</v>
      </c>
    </row>
    <row r="44" spans="1:4" x14ac:dyDescent="0.3">
      <c r="A44" s="3" t="s">
        <v>43</v>
      </c>
      <c r="B44" s="4">
        <v>1472.57</v>
      </c>
      <c r="C44" s="4">
        <v>1449.99</v>
      </c>
      <c r="D44" s="5">
        <f t="shared" si="2"/>
        <v>22.579999999999927</v>
      </c>
    </row>
    <row r="45" spans="1:4" x14ac:dyDescent="0.3">
      <c r="A45" s="3" t="s">
        <v>44</v>
      </c>
      <c r="B45" s="4">
        <v>6106.43</v>
      </c>
      <c r="C45" s="4">
        <v>5737.42</v>
      </c>
      <c r="D45" s="5">
        <f t="shared" si="2"/>
        <v>369.01000000000022</v>
      </c>
    </row>
    <row r="46" spans="1:4" x14ac:dyDescent="0.3">
      <c r="A46" s="3" t="s">
        <v>45</v>
      </c>
      <c r="B46" s="4">
        <v>6542.82</v>
      </c>
      <c r="C46" s="4">
        <v>6285.5</v>
      </c>
      <c r="D46" s="5">
        <f t="shared" si="2"/>
        <v>257.31999999999971</v>
      </c>
    </row>
    <row r="47" spans="1:4" x14ac:dyDescent="0.3">
      <c r="A47" s="3" t="s">
        <v>46</v>
      </c>
      <c r="B47" s="4">
        <v>493.13</v>
      </c>
      <c r="C47" s="4">
        <v>1860.49</v>
      </c>
      <c r="D47" s="5">
        <f t="shared" si="2"/>
        <v>-1367.3600000000001</v>
      </c>
    </row>
    <row r="48" spans="1:4" x14ac:dyDescent="0.3">
      <c r="A48" s="6" t="s">
        <v>47</v>
      </c>
      <c r="B48" s="7">
        <f>SUM(B40:B47)</f>
        <v>31275.250000000004</v>
      </c>
      <c r="C48" s="7">
        <f>SUM(C40:C47)</f>
        <v>30142.93</v>
      </c>
      <c r="D48" s="7">
        <f t="shared" si="2"/>
        <v>1132.3200000000033</v>
      </c>
    </row>
    <row r="49" spans="1:4" ht="18" customHeight="1" x14ac:dyDescent="0.3">
      <c r="A49" s="148" t="s">
        <v>48</v>
      </c>
      <c r="B49" s="149"/>
      <c r="C49" s="149"/>
      <c r="D49" s="149"/>
    </row>
    <row r="50" spans="1:4" x14ac:dyDescent="0.3">
      <c r="A50" s="3" t="s">
        <v>49</v>
      </c>
      <c r="B50" s="4">
        <v>19710.169999999998</v>
      </c>
      <c r="C50" s="4">
        <v>21032.76</v>
      </c>
      <c r="D50" s="5">
        <f t="shared" ref="D50:D60" si="3">B50-C50</f>
        <v>-1322.5900000000001</v>
      </c>
    </row>
    <row r="51" spans="1:4" x14ac:dyDescent="0.3">
      <c r="A51" s="3" t="s">
        <v>50</v>
      </c>
      <c r="B51" s="4">
        <v>569.4</v>
      </c>
      <c r="C51" s="4">
        <v>486.43</v>
      </c>
      <c r="D51" s="5">
        <f t="shared" si="3"/>
        <v>82.96999999999997</v>
      </c>
    </row>
    <row r="52" spans="1:4" x14ac:dyDescent="0.3">
      <c r="A52" s="3" t="s">
        <v>51</v>
      </c>
      <c r="B52" s="4">
        <v>637.65</v>
      </c>
      <c r="C52" s="4">
        <v>498.06</v>
      </c>
      <c r="D52" s="5">
        <f t="shared" si="3"/>
        <v>139.58999999999997</v>
      </c>
    </row>
    <row r="53" spans="1:4" x14ac:dyDescent="0.3">
      <c r="A53" s="3" t="s">
        <v>52</v>
      </c>
      <c r="B53" s="4">
        <v>9866.34</v>
      </c>
      <c r="C53" s="4">
        <v>14834.33</v>
      </c>
      <c r="D53" s="5">
        <f t="shared" si="3"/>
        <v>-4967.99</v>
      </c>
    </row>
    <row r="54" spans="1:4" x14ac:dyDescent="0.3">
      <c r="A54" s="3" t="s">
        <v>53</v>
      </c>
      <c r="B54" s="4">
        <v>9671.15</v>
      </c>
      <c r="C54" s="4">
        <v>10543.57</v>
      </c>
      <c r="D54" s="5">
        <f t="shared" si="3"/>
        <v>-872.42000000000007</v>
      </c>
    </row>
    <row r="55" spans="1:4" x14ac:dyDescent="0.3">
      <c r="A55" s="3" t="s">
        <v>54</v>
      </c>
      <c r="B55" s="4">
        <v>4196.3500000000004</v>
      </c>
      <c r="C55" s="4">
        <v>4565.97</v>
      </c>
      <c r="D55" s="5">
        <f t="shared" si="3"/>
        <v>-369.61999999999989</v>
      </c>
    </row>
    <row r="56" spans="1:4" x14ac:dyDescent="0.3">
      <c r="A56" s="3" t="s">
        <v>55</v>
      </c>
      <c r="B56" s="4">
        <v>1391.05</v>
      </c>
      <c r="C56" s="4">
        <v>1294.1099999999999</v>
      </c>
      <c r="D56" s="5">
        <f t="shared" si="3"/>
        <v>96.940000000000055</v>
      </c>
    </row>
    <row r="57" spans="1:4" x14ac:dyDescent="0.3">
      <c r="A57" s="3" t="s">
        <v>56</v>
      </c>
      <c r="B57" s="4">
        <v>147.97999999999999</v>
      </c>
      <c r="C57" s="4">
        <v>209.19</v>
      </c>
      <c r="D57" s="5">
        <f t="shared" si="3"/>
        <v>-61.210000000000008</v>
      </c>
    </row>
    <row r="58" spans="1:4" x14ac:dyDescent="0.3">
      <c r="A58" s="6" t="s">
        <v>57</v>
      </c>
      <c r="B58" s="7">
        <f>SUM(B50:B57)</f>
        <v>46190.090000000004</v>
      </c>
      <c r="C58" s="7">
        <f>SUM(C50:C57)</f>
        <v>53464.420000000006</v>
      </c>
      <c r="D58" s="7">
        <f t="shared" si="3"/>
        <v>-7274.3300000000017</v>
      </c>
    </row>
    <row r="59" spans="1:4" x14ac:dyDescent="0.3">
      <c r="A59" s="6" t="s">
        <v>58</v>
      </c>
      <c r="B59" s="7">
        <f>B48+B58</f>
        <v>77465.340000000011</v>
      </c>
      <c r="C59" s="7">
        <f>C48+C58</f>
        <v>83607.350000000006</v>
      </c>
      <c r="D59" s="7">
        <f t="shared" si="3"/>
        <v>-6142.0099999999948</v>
      </c>
    </row>
    <row r="60" spans="1:4" x14ac:dyDescent="0.3">
      <c r="A60" s="6" t="s">
        <v>59</v>
      </c>
      <c r="B60" s="7">
        <f>B38+B59</f>
        <v>136370.94</v>
      </c>
      <c r="C60" s="7">
        <f>C38+C59</f>
        <v>140708.58000000002</v>
      </c>
      <c r="D60" s="7">
        <f t="shared" si="3"/>
        <v>-4337.640000000014</v>
      </c>
    </row>
    <row r="62" spans="1:4" x14ac:dyDescent="0.3">
      <c r="A62" s="150" t="s">
        <v>683</v>
      </c>
      <c r="B62" s="149"/>
      <c r="C62" s="149"/>
      <c r="D62" s="149"/>
    </row>
  </sheetData>
  <mergeCells count="10">
    <mergeCell ref="A1:D1"/>
    <mergeCell ref="A5:D5"/>
    <mergeCell ref="A34:D34"/>
    <mergeCell ref="A4:D4"/>
    <mergeCell ref="A62:D62"/>
    <mergeCell ref="A20:D20"/>
    <mergeCell ref="A39:D39"/>
    <mergeCell ref="A2:D2"/>
    <mergeCell ref="A33:D33"/>
    <mergeCell ref="A49:D4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9"/>
  <sheetViews>
    <sheetView showGridLines="0" zoomScaleNormal="100" workbookViewId="0">
      <selection activeCell="I15" sqref="I15"/>
    </sheetView>
  </sheetViews>
  <sheetFormatPr defaultColWidth="8.6640625" defaultRowHeight="14.4" x14ac:dyDescent="0.3"/>
  <cols>
    <col min="1" max="1" width="56" style="52" customWidth="1"/>
    <col min="2" max="4" width="20" style="52" customWidth="1"/>
  </cols>
  <sheetData>
    <row r="1" spans="1:4" ht="31.5" customHeight="1" x14ac:dyDescent="0.3">
      <c r="A1" s="152" t="s">
        <v>684</v>
      </c>
      <c r="B1" s="149"/>
      <c r="C1" s="149"/>
      <c r="D1" s="149"/>
    </row>
    <row r="2" spans="1:4" ht="18" customHeight="1" x14ac:dyDescent="0.3">
      <c r="A2" s="153" t="s">
        <v>62</v>
      </c>
      <c r="B2" s="149"/>
      <c r="C2" s="149"/>
      <c r="D2" s="149"/>
    </row>
    <row r="3" spans="1:4" ht="21.75" customHeight="1" x14ac:dyDescent="0.3">
      <c r="A3" s="1" t="s">
        <v>2</v>
      </c>
      <c r="B3" s="2" t="s">
        <v>3</v>
      </c>
      <c r="C3" s="2" t="s">
        <v>4</v>
      </c>
      <c r="D3" s="2" t="s">
        <v>5</v>
      </c>
    </row>
    <row r="4" spans="1:4" ht="18" customHeight="1" x14ac:dyDescent="0.3">
      <c r="A4" s="151" t="s">
        <v>63</v>
      </c>
      <c r="B4" s="149"/>
      <c r="C4" s="149"/>
      <c r="D4" s="149"/>
    </row>
    <row r="5" spans="1:4" x14ac:dyDescent="0.3">
      <c r="A5" s="3" t="s">
        <v>64</v>
      </c>
      <c r="B5" s="4">
        <v>102479.06</v>
      </c>
      <c r="C5" s="4">
        <v>105378.33</v>
      </c>
      <c r="D5" s="5">
        <f>B5-C5</f>
        <v>-2899.2700000000041</v>
      </c>
    </row>
    <row r="6" spans="1:4" x14ac:dyDescent="0.3">
      <c r="A6" s="3" t="s">
        <v>65</v>
      </c>
      <c r="B6" s="4">
        <v>875.03</v>
      </c>
      <c r="C6" s="4">
        <v>1066.96</v>
      </c>
      <c r="D6" s="5">
        <f>B6-C6</f>
        <v>-191.93000000000006</v>
      </c>
    </row>
    <row r="7" spans="1:4" x14ac:dyDescent="0.3">
      <c r="A7" s="6" t="s">
        <v>66</v>
      </c>
      <c r="B7" s="7">
        <f>B5+B6</f>
        <v>103354.09</v>
      </c>
      <c r="C7" s="7">
        <f>C5+C6</f>
        <v>106445.29000000001</v>
      </c>
      <c r="D7" s="7">
        <f>B7-C7</f>
        <v>-3091.2000000000116</v>
      </c>
    </row>
    <row r="9" spans="1:4" ht="18" customHeight="1" x14ac:dyDescent="0.3">
      <c r="A9" s="151" t="s">
        <v>67</v>
      </c>
      <c r="B9" s="149"/>
      <c r="C9" s="149"/>
      <c r="D9" s="149"/>
    </row>
    <row r="10" spans="1:4" x14ac:dyDescent="0.3">
      <c r="A10" s="3" t="s">
        <v>68</v>
      </c>
      <c r="B10" s="4">
        <v>49051.46</v>
      </c>
      <c r="C10" s="4">
        <v>57709.26</v>
      </c>
      <c r="D10" s="5">
        <f t="shared" ref="D10:D17" si="0">B10-C10</f>
        <v>-8657.8000000000029</v>
      </c>
    </row>
    <row r="11" spans="1:4" x14ac:dyDescent="0.3">
      <c r="A11" s="3" t="s">
        <v>69</v>
      </c>
      <c r="B11" s="4">
        <v>1856.98</v>
      </c>
      <c r="C11" s="4">
        <v>0</v>
      </c>
      <c r="D11" s="5">
        <f t="shared" si="0"/>
        <v>1856.98</v>
      </c>
    </row>
    <row r="12" spans="1:4" x14ac:dyDescent="0.3">
      <c r="A12" s="3" t="s">
        <v>70</v>
      </c>
      <c r="B12" s="4">
        <v>88.75</v>
      </c>
      <c r="C12" s="4">
        <v>-3354.77</v>
      </c>
      <c r="D12" s="5">
        <f t="shared" si="0"/>
        <v>3443.52</v>
      </c>
    </row>
    <row r="13" spans="1:4" x14ac:dyDescent="0.3">
      <c r="A13" s="3" t="s">
        <v>71</v>
      </c>
      <c r="B13" s="4">
        <v>11674.95</v>
      </c>
      <c r="C13" s="4">
        <v>11765.72</v>
      </c>
      <c r="D13" s="5">
        <f t="shared" si="0"/>
        <v>-90.769999999998618</v>
      </c>
    </row>
    <row r="14" spans="1:4" x14ac:dyDescent="0.3">
      <c r="A14" s="3" t="s">
        <v>72</v>
      </c>
      <c r="B14" s="4">
        <v>2793.17</v>
      </c>
      <c r="C14" s="4">
        <v>2473.86</v>
      </c>
      <c r="D14" s="5">
        <f t="shared" si="0"/>
        <v>319.30999999999995</v>
      </c>
    </row>
    <row r="15" spans="1:4" x14ac:dyDescent="0.3">
      <c r="A15" s="3" t="s">
        <v>73</v>
      </c>
      <c r="B15" s="4">
        <v>5650.68</v>
      </c>
      <c r="C15" s="4">
        <v>5278.37</v>
      </c>
      <c r="D15" s="5">
        <f t="shared" si="0"/>
        <v>372.3100000000004</v>
      </c>
    </row>
    <row r="16" spans="1:4" x14ac:dyDescent="0.3">
      <c r="A16" s="3" t="s">
        <v>74</v>
      </c>
      <c r="B16" s="4">
        <v>29160.71</v>
      </c>
      <c r="C16" s="4">
        <v>28108.81</v>
      </c>
      <c r="D16" s="5">
        <f t="shared" si="0"/>
        <v>1051.8999999999978</v>
      </c>
    </row>
    <row r="17" spans="1:4" x14ac:dyDescent="0.3">
      <c r="A17" s="6" t="s">
        <v>75</v>
      </c>
      <c r="B17" s="7">
        <f>SUM(B10:B16)</f>
        <v>100276.69999999998</v>
      </c>
      <c r="C17" s="7">
        <f>SUM(C10:C16)</f>
        <v>101981.25</v>
      </c>
      <c r="D17" s="7">
        <f t="shared" si="0"/>
        <v>-1704.5500000000175</v>
      </c>
    </row>
    <row r="19" spans="1:4" x14ac:dyDescent="0.3">
      <c r="A19" s="6" t="s">
        <v>685</v>
      </c>
      <c r="B19" s="7">
        <f>B7-B17</f>
        <v>3077.390000000014</v>
      </c>
      <c r="C19" s="7">
        <f>C7-C17</f>
        <v>4464.0400000000081</v>
      </c>
      <c r="D19" s="7">
        <f>B19-C19</f>
        <v>-1386.6499999999942</v>
      </c>
    </row>
    <row r="20" spans="1:4" x14ac:dyDescent="0.3">
      <c r="A20" s="3" t="s">
        <v>686</v>
      </c>
      <c r="B20" s="4">
        <v>486.78</v>
      </c>
      <c r="C20" s="4">
        <v>438.61</v>
      </c>
      <c r="D20" s="5">
        <f>B20-C20</f>
        <v>48.169999999999959</v>
      </c>
    </row>
    <row r="21" spans="1:4" x14ac:dyDescent="0.3">
      <c r="A21" s="6" t="s">
        <v>76</v>
      </c>
      <c r="B21" s="7">
        <f>B19+B20</f>
        <v>3564.1700000000137</v>
      </c>
      <c r="C21" s="7">
        <f>C19+C20</f>
        <v>4902.6500000000078</v>
      </c>
      <c r="D21" s="7">
        <f>B21-C21</f>
        <v>-1338.4799999999941</v>
      </c>
    </row>
    <row r="22" spans="1:4" x14ac:dyDescent="0.3">
      <c r="A22" s="3" t="s">
        <v>77</v>
      </c>
      <c r="B22" s="4">
        <v>-312.64</v>
      </c>
      <c r="C22" s="4">
        <v>-840.84</v>
      </c>
      <c r="D22" s="5">
        <f>B22-C22</f>
        <v>528.20000000000005</v>
      </c>
    </row>
    <row r="23" spans="1:4" x14ac:dyDescent="0.3">
      <c r="A23" s="6" t="s">
        <v>78</v>
      </c>
      <c r="B23" s="7">
        <f>B21+B22</f>
        <v>3251.5300000000138</v>
      </c>
      <c r="C23" s="7">
        <f>C21+C22</f>
        <v>4061.8100000000077</v>
      </c>
      <c r="D23" s="7">
        <f>B23-C23</f>
        <v>-810.27999999999383</v>
      </c>
    </row>
    <row r="25" spans="1:4" ht="18" customHeight="1" x14ac:dyDescent="0.3">
      <c r="A25" s="148" t="s">
        <v>79</v>
      </c>
      <c r="B25" s="149"/>
      <c r="C25" s="149"/>
      <c r="D25" s="149"/>
    </row>
    <row r="26" spans="1:4" x14ac:dyDescent="0.3">
      <c r="A26" s="3" t="s">
        <v>80</v>
      </c>
      <c r="B26" s="4">
        <v>821.32</v>
      </c>
      <c r="C26" s="4">
        <v>612.79</v>
      </c>
      <c r="D26" s="5">
        <f>B26-C26</f>
        <v>208.53000000000009</v>
      </c>
    </row>
    <row r="27" spans="1:4" x14ac:dyDescent="0.3">
      <c r="A27" s="3" t="s">
        <v>81</v>
      </c>
      <c r="B27" s="4">
        <v>58.41</v>
      </c>
      <c r="C27" s="4">
        <v>382.35</v>
      </c>
      <c r="D27" s="5">
        <f>B27-C27</f>
        <v>-323.94000000000005</v>
      </c>
    </row>
    <row r="28" spans="1:4" x14ac:dyDescent="0.3">
      <c r="A28" s="6" t="s">
        <v>82</v>
      </c>
      <c r="B28" s="7">
        <f>B26+B27</f>
        <v>879.73</v>
      </c>
      <c r="C28" s="7">
        <f>C26+C27</f>
        <v>995.14</v>
      </c>
      <c r="D28" s="7">
        <f>B28-C28</f>
        <v>-115.40999999999997</v>
      </c>
    </row>
    <row r="30" spans="1:4" x14ac:dyDescent="0.3">
      <c r="A30" s="6" t="s">
        <v>83</v>
      </c>
      <c r="B30" s="7">
        <f>B23-B28</f>
        <v>2371.8000000000138</v>
      </c>
      <c r="C30" s="7">
        <f>C23-C28</f>
        <v>3066.6700000000078</v>
      </c>
      <c r="D30" s="7">
        <f>B30-C30</f>
        <v>-694.86999999999398</v>
      </c>
    </row>
    <row r="32" spans="1:4" ht="18" customHeight="1" x14ac:dyDescent="0.3">
      <c r="A32" s="148" t="s">
        <v>687</v>
      </c>
      <c r="B32" s="149"/>
      <c r="C32" s="149"/>
      <c r="D32" s="149"/>
    </row>
    <row r="33" spans="1:4" x14ac:dyDescent="0.3">
      <c r="A33" s="3" t="s">
        <v>688</v>
      </c>
      <c r="B33" s="4">
        <v>2371.8200000000002</v>
      </c>
      <c r="C33" s="4">
        <v>3066.67</v>
      </c>
      <c r="D33" s="5">
        <f>B33-C33</f>
        <v>-694.84999999999991</v>
      </c>
    </row>
    <row r="34" spans="1:4" x14ac:dyDescent="0.3">
      <c r="A34" s="3" t="s">
        <v>689</v>
      </c>
      <c r="B34" s="4">
        <v>-0.02</v>
      </c>
      <c r="C34" s="4">
        <v>0</v>
      </c>
      <c r="D34" s="5">
        <f>B34-C34</f>
        <v>-0.02</v>
      </c>
    </row>
    <row r="36" spans="1:4" ht="18" customHeight="1" x14ac:dyDescent="0.3">
      <c r="A36" s="148" t="s">
        <v>84</v>
      </c>
      <c r="B36" s="149"/>
      <c r="C36" s="149"/>
      <c r="D36" s="149"/>
    </row>
    <row r="37" spans="1:4" x14ac:dyDescent="0.3">
      <c r="A37" s="3" t="s">
        <v>85</v>
      </c>
      <c r="B37" s="4">
        <v>-387.98</v>
      </c>
      <c r="C37" s="4">
        <v>-196.64</v>
      </c>
      <c r="D37" s="5">
        <f>B37-C37</f>
        <v>-191.34000000000003</v>
      </c>
    </row>
    <row r="38" spans="1:4" x14ac:dyDescent="0.3">
      <c r="A38" s="3" t="s">
        <v>86</v>
      </c>
      <c r="B38" s="4">
        <v>61.87</v>
      </c>
      <c r="C38" s="4">
        <v>73.900000000000006</v>
      </c>
      <c r="D38" s="5">
        <f>B38-C38</f>
        <v>-12.030000000000008</v>
      </c>
    </row>
    <row r="39" spans="1:4" x14ac:dyDescent="0.3">
      <c r="A39" s="3" t="s">
        <v>690</v>
      </c>
      <c r="B39" s="4">
        <v>84.63</v>
      </c>
      <c r="C39" s="4">
        <v>0.55000000000000004</v>
      </c>
      <c r="D39" s="5">
        <f>B39-C39</f>
        <v>84.08</v>
      </c>
    </row>
    <row r="40" spans="1:4" x14ac:dyDescent="0.3">
      <c r="A40" s="3" t="s">
        <v>691</v>
      </c>
      <c r="B40" s="4">
        <v>54.84</v>
      </c>
      <c r="C40" s="4">
        <v>29.65</v>
      </c>
      <c r="D40" s="5">
        <f>B40-C40</f>
        <v>25.190000000000005</v>
      </c>
    </row>
    <row r="41" spans="1:4" x14ac:dyDescent="0.3">
      <c r="A41" s="6" t="s">
        <v>88</v>
      </c>
      <c r="B41" s="7">
        <f>SUM(B37:B40)</f>
        <v>-186.64000000000001</v>
      </c>
      <c r="C41" s="7">
        <f>SUM(C37:C40)</f>
        <v>-92.539999999999992</v>
      </c>
      <c r="D41" s="7">
        <f>B41-C41</f>
        <v>-94.100000000000023</v>
      </c>
    </row>
    <row r="43" spans="1:4" x14ac:dyDescent="0.3">
      <c r="A43" s="6" t="s">
        <v>89</v>
      </c>
      <c r="B43" s="7">
        <f>B30+B41</f>
        <v>2185.160000000014</v>
      </c>
      <c r="C43" s="7">
        <f>C30+C41</f>
        <v>2974.1300000000078</v>
      </c>
      <c r="D43" s="7">
        <f>B43-C43</f>
        <v>-788.96999999999389</v>
      </c>
    </row>
    <row r="45" spans="1:4" ht="18" customHeight="1" x14ac:dyDescent="0.3">
      <c r="A45" s="151" t="s">
        <v>90</v>
      </c>
      <c r="B45" s="149"/>
      <c r="C45" s="149"/>
      <c r="D45" s="149"/>
    </row>
    <row r="46" spans="1:4" x14ac:dyDescent="0.3">
      <c r="A46" s="3" t="s">
        <v>91</v>
      </c>
      <c r="B46" s="4">
        <v>4130525289</v>
      </c>
      <c r="C46" s="4">
        <v>4130525289</v>
      </c>
      <c r="D46" s="5">
        <f>B46-C46</f>
        <v>0</v>
      </c>
    </row>
    <row r="47" spans="1:4" x14ac:dyDescent="0.3">
      <c r="A47" s="3" t="s">
        <v>92</v>
      </c>
      <c r="B47" s="4">
        <v>5.74</v>
      </c>
      <c r="C47" s="4">
        <v>7.42</v>
      </c>
      <c r="D47" s="5">
        <f>B47-C47</f>
        <v>-1.6799999999999997</v>
      </c>
    </row>
    <row r="49" spans="1:4" x14ac:dyDescent="0.3">
      <c r="A49" s="150" t="s">
        <v>692</v>
      </c>
      <c r="B49" s="149"/>
      <c r="C49" s="149"/>
      <c r="D49" s="149"/>
    </row>
  </sheetData>
  <mergeCells count="9">
    <mergeCell ref="A49:D49"/>
    <mergeCell ref="A32:D32"/>
    <mergeCell ref="A36:D36"/>
    <mergeCell ref="A45:D45"/>
    <mergeCell ref="A1:D1"/>
    <mergeCell ref="A9:D9"/>
    <mergeCell ref="A4:D4"/>
    <mergeCell ref="A25:D25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workbookViewId="0">
      <pane xSplit="2" ySplit="4" topLeftCell="C36" activePane="bottomRight" state="frozen"/>
      <selection pane="topRight"/>
      <selection pane="bottomLeft"/>
      <selection pane="bottomRight" activeCell="D26" sqref="D26:F26"/>
    </sheetView>
  </sheetViews>
  <sheetFormatPr defaultRowHeight="14.4" x14ac:dyDescent="0.3"/>
  <cols>
    <col min="1" max="1" width="7" style="52" customWidth="1"/>
    <col min="2" max="2" width="8" style="52" customWidth="1"/>
    <col min="3" max="3" width="62" style="52" customWidth="1"/>
    <col min="4" max="6" width="18" style="52" customWidth="1"/>
  </cols>
  <sheetData>
    <row r="1" spans="1:6" ht="30" customHeight="1" x14ac:dyDescent="0.3">
      <c r="A1" s="156" t="s">
        <v>94</v>
      </c>
      <c r="B1" s="149"/>
      <c r="C1" s="149"/>
      <c r="D1" s="149"/>
      <c r="E1" s="149"/>
      <c r="F1" s="149"/>
    </row>
    <row r="2" spans="1:6" ht="24" customHeight="1" x14ac:dyDescent="0.3">
      <c r="A2" s="154" t="s">
        <v>693</v>
      </c>
      <c r="B2" s="149"/>
      <c r="C2" s="149"/>
      <c r="D2" s="149"/>
      <c r="E2" s="149"/>
      <c r="F2" s="149"/>
    </row>
    <row r="3" spans="1:6" ht="18" customHeight="1" x14ac:dyDescent="0.3">
      <c r="A3" s="157" t="s">
        <v>96</v>
      </c>
      <c r="B3" s="149"/>
      <c r="C3" s="149"/>
      <c r="D3" s="149"/>
      <c r="E3" s="149"/>
      <c r="F3" s="149"/>
    </row>
    <row r="4" spans="1:6" ht="22.05" customHeight="1" x14ac:dyDescent="0.3">
      <c r="A4" s="63" t="s">
        <v>97</v>
      </c>
      <c r="B4" s="63" t="s">
        <v>98</v>
      </c>
      <c r="C4" s="63" t="s">
        <v>2</v>
      </c>
      <c r="D4" s="63" t="s">
        <v>99</v>
      </c>
      <c r="E4" s="63" t="s">
        <v>100</v>
      </c>
      <c r="F4" s="63" t="s">
        <v>101</v>
      </c>
    </row>
    <row r="5" spans="1:6" ht="15" customHeight="1" x14ac:dyDescent="0.3">
      <c r="A5" s="64"/>
      <c r="B5" s="64" t="s">
        <v>102</v>
      </c>
      <c r="C5" s="65" t="s">
        <v>103</v>
      </c>
      <c r="D5" s="66"/>
      <c r="E5" s="66"/>
      <c r="F5" s="66"/>
    </row>
    <row r="6" spans="1:6" ht="15" customHeight="1" x14ac:dyDescent="0.3">
      <c r="A6" s="67">
        <v>1</v>
      </c>
      <c r="B6" s="67" t="s">
        <v>102</v>
      </c>
      <c r="C6" s="68" t="s">
        <v>104</v>
      </c>
      <c r="D6" s="93">
        <v>3251.53</v>
      </c>
      <c r="E6" s="93">
        <v>4061.81</v>
      </c>
      <c r="F6" s="93">
        <v>-810.28</v>
      </c>
    </row>
    <row r="7" spans="1:6" ht="15" customHeight="1" x14ac:dyDescent="0.3">
      <c r="A7" s="69">
        <v>2</v>
      </c>
      <c r="B7" s="69" t="s">
        <v>102</v>
      </c>
      <c r="C7" s="70" t="s">
        <v>105</v>
      </c>
      <c r="D7" s="87">
        <v>5650.68</v>
      </c>
      <c r="E7" s="87">
        <v>5278.37</v>
      </c>
      <c r="F7" s="87">
        <v>372.31</v>
      </c>
    </row>
    <row r="8" spans="1:6" ht="15" customHeight="1" x14ac:dyDescent="0.3">
      <c r="A8" s="67">
        <v>3</v>
      </c>
      <c r="B8" s="67" t="s">
        <v>102</v>
      </c>
      <c r="C8" s="68" t="s">
        <v>106</v>
      </c>
      <c r="D8" s="93">
        <v>43.93</v>
      </c>
      <c r="E8" s="93">
        <v>-130</v>
      </c>
      <c r="F8" s="93">
        <v>173.93</v>
      </c>
    </row>
    <row r="9" spans="1:6" ht="15" customHeight="1" x14ac:dyDescent="0.3">
      <c r="A9" s="69">
        <v>4</v>
      </c>
      <c r="B9" s="69" t="s">
        <v>102</v>
      </c>
      <c r="C9" s="70" t="s">
        <v>107</v>
      </c>
      <c r="D9" s="87">
        <v>-311.11</v>
      </c>
      <c r="E9" s="87">
        <v>-316.52</v>
      </c>
      <c r="F9" s="87">
        <v>5.41</v>
      </c>
    </row>
    <row r="10" spans="1:6" ht="15" customHeight="1" x14ac:dyDescent="0.3">
      <c r="A10" s="67">
        <v>5</v>
      </c>
      <c r="B10" s="67" t="s">
        <v>102</v>
      </c>
      <c r="C10" s="68" t="s">
        <v>108</v>
      </c>
      <c r="D10" s="93">
        <v>-7.02</v>
      </c>
      <c r="E10" s="93">
        <v>-5.52</v>
      </c>
      <c r="F10" s="93">
        <v>-1.5</v>
      </c>
    </row>
    <row r="11" spans="1:6" ht="15" customHeight="1" x14ac:dyDescent="0.3">
      <c r="A11" s="69">
        <v>6</v>
      </c>
      <c r="B11" s="69" t="s">
        <v>102</v>
      </c>
      <c r="C11" s="70" t="s">
        <v>109</v>
      </c>
      <c r="D11" s="87">
        <v>2793.17</v>
      </c>
      <c r="E11" s="87">
        <v>2473.86</v>
      </c>
      <c r="F11" s="87">
        <v>319.31</v>
      </c>
    </row>
    <row r="12" spans="1:6" ht="15" customHeight="1" x14ac:dyDescent="0.3">
      <c r="A12" s="67">
        <v>7</v>
      </c>
      <c r="B12" s="67" t="s">
        <v>102</v>
      </c>
      <c r="C12" s="68" t="s">
        <v>110</v>
      </c>
      <c r="D12" s="93">
        <v>-0.06</v>
      </c>
      <c r="E12" s="93" t="s">
        <v>111</v>
      </c>
      <c r="F12" s="93"/>
    </row>
    <row r="13" spans="1:6" ht="15" customHeight="1" x14ac:dyDescent="0.3">
      <c r="A13" s="69">
        <v>8</v>
      </c>
      <c r="B13" s="69" t="s">
        <v>102</v>
      </c>
      <c r="C13" s="70" t="s">
        <v>112</v>
      </c>
      <c r="D13" s="87">
        <v>164.84</v>
      </c>
      <c r="E13" s="87">
        <v>63.07</v>
      </c>
      <c r="F13" s="87">
        <v>101.77</v>
      </c>
    </row>
    <row r="14" spans="1:6" ht="15" customHeight="1" x14ac:dyDescent="0.3">
      <c r="A14" s="67">
        <v>9</v>
      </c>
      <c r="B14" s="67" t="s">
        <v>102</v>
      </c>
      <c r="C14" s="68" t="s">
        <v>113</v>
      </c>
      <c r="D14" s="93">
        <v>131.78</v>
      </c>
      <c r="E14" s="93">
        <v>149.27000000000001</v>
      </c>
      <c r="F14" s="93">
        <v>-17.489999999999998</v>
      </c>
    </row>
    <row r="15" spans="1:6" ht="15" customHeight="1" x14ac:dyDescent="0.3">
      <c r="A15" s="69">
        <v>10</v>
      </c>
      <c r="B15" s="69" t="s">
        <v>102</v>
      </c>
      <c r="C15" s="70" t="s">
        <v>694</v>
      </c>
      <c r="D15" s="87">
        <v>-486.78</v>
      </c>
      <c r="E15" s="87">
        <v>-438.61</v>
      </c>
      <c r="F15" s="87">
        <v>-48.17</v>
      </c>
    </row>
    <row r="16" spans="1:6" ht="15" customHeight="1" x14ac:dyDescent="0.3">
      <c r="A16" s="67">
        <v>11</v>
      </c>
      <c r="B16" s="67" t="s">
        <v>102</v>
      </c>
      <c r="C16" s="68" t="s">
        <v>114</v>
      </c>
      <c r="D16" s="93">
        <v>-244.63</v>
      </c>
      <c r="E16" s="93">
        <v>-471.71</v>
      </c>
      <c r="F16" s="93">
        <v>227.08</v>
      </c>
    </row>
    <row r="17" spans="1:6" ht="15" customHeight="1" x14ac:dyDescent="0.3">
      <c r="A17" s="72">
        <v>12</v>
      </c>
      <c r="B17" s="72" t="s">
        <v>102</v>
      </c>
      <c r="C17" s="73" t="s">
        <v>115</v>
      </c>
      <c r="D17" s="94">
        <v>10986.33</v>
      </c>
      <c r="E17" s="94">
        <v>10664.02</v>
      </c>
      <c r="F17" s="94">
        <v>322.31</v>
      </c>
    </row>
    <row r="18" spans="1:6" ht="15" customHeight="1" x14ac:dyDescent="0.3">
      <c r="A18" s="67">
        <v>13</v>
      </c>
      <c r="B18" s="67" t="s">
        <v>102</v>
      </c>
      <c r="C18" s="68" t="s">
        <v>116</v>
      </c>
      <c r="D18" s="93">
        <v>594.74</v>
      </c>
      <c r="E18" s="93">
        <v>-2999.24</v>
      </c>
      <c r="F18" s="93">
        <v>3593.98</v>
      </c>
    </row>
    <row r="19" spans="1:6" ht="15" customHeight="1" x14ac:dyDescent="0.3">
      <c r="A19" s="69">
        <v>14</v>
      </c>
      <c r="B19" s="69" t="s">
        <v>102</v>
      </c>
      <c r="C19" s="70" t="s">
        <v>117</v>
      </c>
      <c r="D19" s="87">
        <v>2932.18</v>
      </c>
      <c r="E19" s="87">
        <v>-1422.58</v>
      </c>
      <c r="F19" s="87">
        <v>4354.76</v>
      </c>
    </row>
    <row r="20" spans="1:6" ht="15" customHeight="1" x14ac:dyDescent="0.3">
      <c r="A20" s="67">
        <v>15</v>
      </c>
      <c r="B20" s="67" t="s">
        <v>102</v>
      </c>
      <c r="C20" s="68" t="s">
        <v>118</v>
      </c>
      <c r="D20" s="93">
        <v>-4828.54</v>
      </c>
      <c r="E20" s="93">
        <v>993.45</v>
      </c>
      <c r="F20" s="93">
        <v>-5821.99</v>
      </c>
    </row>
    <row r="21" spans="1:6" ht="15" customHeight="1" x14ac:dyDescent="0.3">
      <c r="A21" s="69">
        <v>16</v>
      </c>
      <c r="B21" s="69" t="s">
        <v>102</v>
      </c>
      <c r="C21" s="70" t="s">
        <v>119</v>
      </c>
      <c r="D21" s="87">
        <v>-2691.93</v>
      </c>
      <c r="E21" s="87">
        <v>980.98</v>
      </c>
      <c r="F21" s="87">
        <v>-3672.91</v>
      </c>
    </row>
    <row r="22" spans="1:6" ht="15" customHeight="1" x14ac:dyDescent="0.3">
      <c r="A22" s="67">
        <v>17</v>
      </c>
      <c r="B22" s="67" t="s">
        <v>102</v>
      </c>
      <c r="C22" s="68" t="s">
        <v>120</v>
      </c>
      <c r="D22" s="93">
        <v>77.97</v>
      </c>
      <c r="E22" s="93">
        <v>-163.41999999999999</v>
      </c>
      <c r="F22" s="93">
        <v>241.39</v>
      </c>
    </row>
    <row r="23" spans="1:6" ht="15" customHeight="1" x14ac:dyDescent="0.3">
      <c r="A23" s="69">
        <v>18</v>
      </c>
      <c r="B23" s="69" t="s">
        <v>102</v>
      </c>
      <c r="C23" s="70" t="s">
        <v>121</v>
      </c>
      <c r="D23" s="87">
        <v>3487.64</v>
      </c>
      <c r="E23" s="87">
        <v>-5038.74</v>
      </c>
      <c r="F23" s="87">
        <v>8526.3799999999992</v>
      </c>
    </row>
    <row r="24" spans="1:6" ht="15" customHeight="1" x14ac:dyDescent="0.3">
      <c r="A24" s="72">
        <v>19</v>
      </c>
      <c r="B24" s="72" t="s">
        <v>102</v>
      </c>
      <c r="C24" s="73" t="s">
        <v>122</v>
      </c>
      <c r="D24" s="94">
        <v>10558.39</v>
      </c>
      <c r="E24" s="94">
        <v>3014.47</v>
      </c>
      <c r="F24" s="94">
        <v>7543.92</v>
      </c>
    </row>
    <row r="25" spans="1:6" ht="15" customHeight="1" x14ac:dyDescent="0.3">
      <c r="A25" s="69">
        <v>20</v>
      </c>
      <c r="B25" s="69" t="s">
        <v>102</v>
      </c>
      <c r="C25" s="70" t="s">
        <v>123</v>
      </c>
      <c r="D25" s="87">
        <v>-644.09</v>
      </c>
      <c r="E25" s="87">
        <v>-103.59</v>
      </c>
      <c r="F25" s="87">
        <v>-540.5</v>
      </c>
    </row>
    <row r="26" spans="1:6" ht="15" customHeight="1" x14ac:dyDescent="0.3">
      <c r="A26" s="72">
        <v>21</v>
      </c>
      <c r="B26" s="72" t="s">
        <v>102</v>
      </c>
      <c r="C26" s="73" t="s">
        <v>124</v>
      </c>
      <c r="D26" s="147">
        <v>9914.2999999999993</v>
      </c>
      <c r="E26" s="147">
        <v>2910.88</v>
      </c>
      <c r="F26" s="147">
        <v>7003.42</v>
      </c>
    </row>
    <row r="27" spans="1:6" ht="15" customHeight="1" x14ac:dyDescent="0.3">
      <c r="A27" s="64"/>
      <c r="B27" s="64" t="s">
        <v>125</v>
      </c>
      <c r="C27" s="65" t="s">
        <v>126</v>
      </c>
      <c r="D27" s="66"/>
      <c r="E27" s="66"/>
      <c r="F27" s="66"/>
    </row>
    <row r="28" spans="1:6" ht="15" customHeight="1" x14ac:dyDescent="0.3">
      <c r="A28" s="69">
        <v>22</v>
      </c>
      <c r="B28" s="69" t="s">
        <v>125</v>
      </c>
      <c r="C28" s="70" t="s">
        <v>127</v>
      </c>
      <c r="D28" s="87">
        <v>-6221.15</v>
      </c>
      <c r="E28" s="87">
        <v>-4710.6899999999996</v>
      </c>
      <c r="F28" s="87">
        <v>-1510.46</v>
      </c>
    </row>
    <row r="29" spans="1:6" ht="15" customHeight="1" x14ac:dyDescent="0.3">
      <c r="A29" s="67">
        <v>23</v>
      </c>
      <c r="B29" s="67" t="s">
        <v>125</v>
      </c>
      <c r="C29" s="68" t="s">
        <v>128</v>
      </c>
      <c r="D29" s="93">
        <v>843.72</v>
      </c>
      <c r="E29" s="93">
        <v>503.16</v>
      </c>
      <c r="F29" s="93">
        <v>340.56</v>
      </c>
    </row>
    <row r="30" spans="1:6" ht="15" customHeight="1" x14ac:dyDescent="0.3">
      <c r="A30" s="69">
        <v>24</v>
      </c>
      <c r="B30" s="69" t="s">
        <v>125</v>
      </c>
      <c r="C30" s="70" t="s">
        <v>129</v>
      </c>
      <c r="D30" s="87">
        <v>-2.99</v>
      </c>
      <c r="E30" s="87" t="s">
        <v>111</v>
      </c>
      <c r="F30" s="87"/>
    </row>
    <row r="31" spans="1:6" ht="15" customHeight="1" x14ac:dyDescent="0.3">
      <c r="A31" s="67">
        <v>25</v>
      </c>
      <c r="B31" s="67" t="s">
        <v>125</v>
      </c>
      <c r="C31" s="68" t="s">
        <v>130</v>
      </c>
      <c r="D31" s="93">
        <v>-71.73</v>
      </c>
      <c r="E31" s="93">
        <v>-254.6</v>
      </c>
      <c r="F31" s="93">
        <v>182.87</v>
      </c>
    </row>
    <row r="32" spans="1:6" ht="15" customHeight="1" x14ac:dyDescent="0.3">
      <c r="A32" s="69">
        <v>26</v>
      </c>
      <c r="B32" s="69" t="s">
        <v>125</v>
      </c>
      <c r="C32" s="70" t="s">
        <v>131</v>
      </c>
      <c r="D32" s="87">
        <v>176.63</v>
      </c>
      <c r="E32" s="87">
        <v>196.07</v>
      </c>
      <c r="F32" s="87">
        <v>-19.440000000000001</v>
      </c>
    </row>
    <row r="33" spans="1:6" ht="15" customHeight="1" x14ac:dyDescent="0.3">
      <c r="A33" s="67">
        <v>27</v>
      </c>
      <c r="B33" s="67" t="s">
        <v>125</v>
      </c>
      <c r="C33" s="68" t="s">
        <v>132</v>
      </c>
      <c r="D33" s="93">
        <v>7.02</v>
      </c>
      <c r="E33" s="93">
        <v>5.52</v>
      </c>
      <c r="F33" s="93">
        <v>1.5</v>
      </c>
    </row>
    <row r="34" spans="1:6" ht="15" customHeight="1" x14ac:dyDescent="0.3">
      <c r="A34" s="72">
        <v>28</v>
      </c>
      <c r="B34" s="72" t="s">
        <v>125</v>
      </c>
      <c r="C34" s="73" t="s">
        <v>133</v>
      </c>
      <c r="D34" s="94">
        <v>-5268.5</v>
      </c>
      <c r="E34" s="94">
        <v>-4260.54</v>
      </c>
      <c r="F34" s="94">
        <v>-1007.96</v>
      </c>
    </row>
    <row r="35" spans="1:6" ht="15" customHeight="1" x14ac:dyDescent="0.3">
      <c r="A35" s="64"/>
      <c r="B35" s="64" t="s">
        <v>134</v>
      </c>
      <c r="C35" s="65" t="s">
        <v>135</v>
      </c>
      <c r="D35" s="95"/>
      <c r="E35" s="95"/>
      <c r="F35" s="95"/>
    </row>
    <row r="36" spans="1:6" ht="15" customHeight="1" x14ac:dyDescent="0.3">
      <c r="A36" s="67">
        <v>29</v>
      </c>
      <c r="B36" s="67" t="s">
        <v>134</v>
      </c>
      <c r="C36" s="68" t="s">
        <v>136</v>
      </c>
      <c r="D36" s="93">
        <v>1250</v>
      </c>
      <c r="E36" s="93">
        <v>5000</v>
      </c>
      <c r="F36" s="93">
        <v>-3750</v>
      </c>
    </row>
    <row r="37" spans="1:6" ht="15" customHeight="1" x14ac:dyDescent="0.3">
      <c r="A37" s="69">
        <v>30</v>
      </c>
      <c r="B37" s="69" t="s">
        <v>134</v>
      </c>
      <c r="C37" s="70" t="s">
        <v>137</v>
      </c>
      <c r="D37" s="87">
        <v>-1083.72</v>
      </c>
      <c r="E37" s="87">
        <v>-2494.9299999999998</v>
      </c>
      <c r="F37" s="87">
        <v>1411.21</v>
      </c>
    </row>
    <row r="38" spans="1:6" ht="15" customHeight="1" x14ac:dyDescent="0.3">
      <c r="A38" s="67">
        <v>31</v>
      </c>
      <c r="B38" s="67" t="s">
        <v>134</v>
      </c>
      <c r="C38" s="68" t="s">
        <v>138</v>
      </c>
      <c r="D38" s="93">
        <v>-956.13</v>
      </c>
      <c r="E38" s="93">
        <v>2434.12</v>
      </c>
      <c r="F38" s="93">
        <v>-3390.25</v>
      </c>
    </row>
    <row r="39" spans="1:6" ht="15" customHeight="1" x14ac:dyDescent="0.3">
      <c r="A39" s="69">
        <v>32</v>
      </c>
      <c r="B39" s="69" t="s">
        <v>134</v>
      </c>
      <c r="C39" s="70" t="s">
        <v>139</v>
      </c>
      <c r="D39" s="87">
        <v>-822.34</v>
      </c>
      <c r="E39" s="87">
        <v>-801.03</v>
      </c>
      <c r="F39" s="87">
        <v>-21.31</v>
      </c>
    </row>
    <row r="40" spans="1:6" ht="15" customHeight="1" x14ac:dyDescent="0.3">
      <c r="A40" s="67">
        <v>33</v>
      </c>
      <c r="B40" s="67" t="s">
        <v>134</v>
      </c>
      <c r="C40" s="68" t="s">
        <v>140</v>
      </c>
      <c r="D40" s="93">
        <v>-2398.36</v>
      </c>
      <c r="E40" s="93">
        <v>-2156.63</v>
      </c>
      <c r="F40" s="93">
        <v>-241.73</v>
      </c>
    </row>
    <row r="41" spans="1:6" ht="15" customHeight="1" x14ac:dyDescent="0.3">
      <c r="A41" s="69">
        <v>34</v>
      </c>
      <c r="B41" s="69" t="s">
        <v>134</v>
      </c>
      <c r="C41" s="70" t="s">
        <v>141</v>
      </c>
      <c r="D41" s="87">
        <v>-413.05</v>
      </c>
      <c r="E41" s="87">
        <v>-619.58000000000004</v>
      </c>
      <c r="F41" s="87">
        <v>206.53</v>
      </c>
    </row>
    <row r="42" spans="1:6" ht="15" customHeight="1" x14ac:dyDescent="0.3">
      <c r="A42" s="72">
        <v>35</v>
      </c>
      <c r="B42" s="72" t="s">
        <v>134</v>
      </c>
      <c r="C42" s="73" t="s">
        <v>142</v>
      </c>
      <c r="D42" s="94">
        <v>-4423.6000000000004</v>
      </c>
      <c r="E42" s="94">
        <v>1361.95</v>
      </c>
      <c r="F42" s="94">
        <v>-5785.55</v>
      </c>
    </row>
    <row r="43" spans="1:6" ht="15" customHeight="1" x14ac:dyDescent="0.3">
      <c r="A43" s="72">
        <v>36</v>
      </c>
      <c r="B43" s="72" t="s">
        <v>143</v>
      </c>
      <c r="C43" s="73" t="s">
        <v>144</v>
      </c>
      <c r="D43" s="94">
        <v>222.2</v>
      </c>
      <c r="E43" s="94">
        <v>12.29</v>
      </c>
      <c r="F43" s="94">
        <v>209.91</v>
      </c>
    </row>
    <row r="44" spans="1:6" ht="15" customHeight="1" x14ac:dyDescent="0.3">
      <c r="A44" s="67">
        <v>37</v>
      </c>
      <c r="B44" s="67" t="s">
        <v>143</v>
      </c>
      <c r="C44" s="68" t="s">
        <v>145</v>
      </c>
      <c r="D44" s="93">
        <v>69.38</v>
      </c>
      <c r="E44" s="93">
        <v>57.09</v>
      </c>
      <c r="F44" s="93">
        <v>12.29</v>
      </c>
    </row>
    <row r="45" spans="1:6" ht="15" customHeight="1" x14ac:dyDescent="0.3">
      <c r="A45" s="69">
        <v>38</v>
      </c>
      <c r="B45" s="69" t="s">
        <v>143</v>
      </c>
      <c r="C45" s="70" t="s">
        <v>147</v>
      </c>
      <c r="D45" s="87">
        <v>291.58</v>
      </c>
      <c r="E45" s="87">
        <v>69.38</v>
      </c>
      <c r="F45" s="87">
        <v>222.2</v>
      </c>
    </row>
    <row r="47" spans="1:6" ht="13.95" customHeight="1" x14ac:dyDescent="0.3">
      <c r="A47" s="155" t="s">
        <v>149</v>
      </c>
      <c r="B47" s="149"/>
      <c r="C47" s="149"/>
      <c r="D47" s="149"/>
      <c r="E47" s="149"/>
      <c r="F47" s="149"/>
    </row>
    <row r="48" spans="1:6" ht="13.95" customHeight="1" x14ac:dyDescent="0.3">
      <c r="A48" s="155" t="s">
        <v>150</v>
      </c>
      <c r="B48" s="149"/>
      <c r="C48" s="149"/>
      <c r="D48" s="149"/>
      <c r="E48" s="149"/>
      <c r="F48" s="149"/>
    </row>
    <row r="49" spans="1:6" ht="13.95" customHeight="1" x14ac:dyDescent="0.3">
      <c r="A49" s="155" t="s">
        <v>151</v>
      </c>
      <c r="B49" s="149"/>
      <c r="C49" s="149"/>
      <c r="D49" s="149"/>
      <c r="E49" s="149"/>
      <c r="F49" s="149"/>
    </row>
  </sheetData>
  <mergeCells count="6">
    <mergeCell ref="A2:F2"/>
    <mergeCell ref="A49:F49"/>
    <mergeCell ref="A47:F47"/>
    <mergeCell ref="A1:F1"/>
    <mergeCell ref="A48:F48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19"/>
  <sheetViews>
    <sheetView workbookViewId="0">
      <pane xSplit="2" ySplit="3" topLeftCell="C419" activePane="bottomRight" state="frozen"/>
      <selection pane="topRight"/>
      <selection pane="bottomLeft"/>
      <selection pane="bottomRight" activeCell="C255" sqref="C255:C266"/>
    </sheetView>
  </sheetViews>
  <sheetFormatPr defaultRowHeight="14.4" x14ac:dyDescent="0.3"/>
  <cols>
    <col min="1" max="1" width="7" style="52" customWidth="1"/>
    <col min="2" max="2" width="62.77734375" style="52" bestFit="1" customWidth="1"/>
    <col min="3" max="3" width="62" style="52" customWidth="1"/>
    <col min="4" max="5" width="18" style="52" customWidth="1"/>
  </cols>
  <sheetData>
    <row r="1" spans="1:5" ht="25.95" customHeight="1" x14ac:dyDescent="0.3">
      <c r="A1" s="156" t="s">
        <v>94</v>
      </c>
      <c r="B1" s="149"/>
      <c r="C1" s="149"/>
      <c r="D1" s="149"/>
      <c r="E1" s="149"/>
    </row>
    <row r="2" spans="1:5" ht="22.05" customHeight="1" x14ac:dyDescent="0.3">
      <c r="A2" s="161" t="s">
        <v>697</v>
      </c>
      <c r="B2" s="149"/>
      <c r="C2" s="149"/>
      <c r="D2" s="149"/>
      <c r="E2" s="149"/>
    </row>
    <row r="3" spans="1:5" ht="18" customHeight="1" x14ac:dyDescent="0.3">
      <c r="A3" s="160" t="s">
        <v>153</v>
      </c>
      <c r="B3" s="149"/>
      <c r="C3" s="149"/>
      <c r="D3" s="149"/>
      <c r="E3" s="149"/>
    </row>
    <row r="4" spans="1:5" ht="7.95" customHeight="1" x14ac:dyDescent="0.3"/>
    <row r="5" spans="1:5" ht="19.95" customHeight="1" x14ac:dyDescent="0.3">
      <c r="A5" s="158" t="s">
        <v>154</v>
      </c>
      <c r="B5" s="149"/>
      <c r="C5" s="149"/>
      <c r="D5" s="149"/>
      <c r="E5" s="149"/>
    </row>
    <row r="6" spans="1:5" ht="30" customHeight="1" x14ac:dyDescent="0.3">
      <c r="A6" s="74" t="s">
        <v>97</v>
      </c>
      <c r="B6" s="74" t="s">
        <v>2</v>
      </c>
      <c r="C6" s="74" t="s">
        <v>3</v>
      </c>
      <c r="D6" s="74" t="s">
        <v>4</v>
      </c>
      <c r="E6" s="74"/>
    </row>
    <row r="7" spans="1:5" ht="16.05" customHeight="1" x14ac:dyDescent="0.3">
      <c r="A7" s="69">
        <v>1</v>
      </c>
      <c r="B7" s="70" t="s">
        <v>155</v>
      </c>
      <c r="C7" s="71" t="s">
        <v>111</v>
      </c>
      <c r="D7" s="71" t="s">
        <v>111</v>
      </c>
      <c r="E7" s="70"/>
    </row>
    <row r="8" spans="1:5" ht="16.05" customHeight="1" x14ac:dyDescent="0.3">
      <c r="A8" s="75">
        <v>2</v>
      </c>
      <c r="B8" s="76" t="s">
        <v>156</v>
      </c>
      <c r="C8" s="77" t="s">
        <v>111</v>
      </c>
      <c r="D8" s="77" t="s">
        <v>111</v>
      </c>
      <c r="E8" s="76"/>
    </row>
    <row r="9" spans="1:5" ht="16.05" customHeight="1" x14ac:dyDescent="0.3">
      <c r="A9" s="69">
        <v>3</v>
      </c>
      <c r="B9" s="70" t="s">
        <v>157</v>
      </c>
      <c r="C9" s="71" t="s">
        <v>111</v>
      </c>
      <c r="D9" s="71" t="s">
        <v>111</v>
      </c>
      <c r="E9" s="70"/>
    </row>
    <row r="10" spans="1:5" ht="16.05" customHeight="1" x14ac:dyDescent="0.3">
      <c r="A10" s="75">
        <v>4</v>
      </c>
      <c r="B10" s="76" t="s">
        <v>158</v>
      </c>
      <c r="C10" s="77" t="s">
        <v>698</v>
      </c>
      <c r="D10" s="77" t="s">
        <v>699</v>
      </c>
      <c r="E10" s="76"/>
    </row>
    <row r="11" spans="1:5" ht="16.05" customHeight="1" x14ac:dyDescent="0.3">
      <c r="A11" s="69">
        <v>5</v>
      </c>
      <c r="B11" s="70" t="s">
        <v>161</v>
      </c>
      <c r="C11" s="71" t="s">
        <v>700</v>
      </c>
      <c r="D11" s="71" t="s">
        <v>701</v>
      </c>
      <c r="E11" s="70"/>
    </row>
    <row r="12" spans="1:5" ht="16.95" customHeight="1" x14ac:dyDescent="0.3">
      <c r="A12" s="78"/>
      <c r="B12" s="79" t="s">
        <v>164</v>
      </c>
      <c r="C12" s="80" t="s">
        <v>111</v>
      </c>
      <c r="D12" s="80" t="s">
        <v>111</v>
      </c>
      <c r="E12" s="79"/>
    </row>
    <row r="13" spans="1:5" ht="7.95" customHeight="1" x14ac:dyDescent="0.3"/>
    <row r="14" spans="1:5" ht="19.95" customHeight="1" x14ac:dyDescent="0.3">
      <c r="A14" s="158" t="s">
        <v>165</v>
      </c>
      <c r="B14" s="149"/>
      <c r="C14" s="149"/>
      <c r="D14" s="149"/>
      <c r="E14" s="149"/>
    </row>
    <row r="15" spans="1:5" ht="30" customHeight="1" x14ac:dyDescent="0.3">
      <c r="A15" s="74" t="s">
        <v>97</v>
      </c>
      <c r="B15" s="74" t="s">
        <v>2</v>
      </c>
      <c r="C15" s="74" t="s">
        <v>3</v>
      </c>
      <c r="D15" s="74" t="s">
        <v>4</v>
      </c>
      <c r="E15" s="74"/>
    </row>
    <row r="16" spans="1:5" ht="16.05" customHeight="1" x14ac:dyDescent="0.3">
      <c r="A16" s="69">
        <v>1</v>
      </c>
      <c r="B16" s="70" t="s">
        <v>166</v>
      </c>
      <c r="C16" s="71" t="s">
        <v>167</v>
      </c>
      <c r="D16" s="71" t="s">
        <v>168</v>
      </c>
      <c r="E16" s="70"/>
    </row>
    <row r="17" spans="1:5" ht="16.05" customHeight="1" x14ac:dyDescent="0.3">
      <c r="A17" s="75">
        <v>2</v>
      </c>
      <c r="B17" s="76" t="s">
        <v>169</v>
      </c>
      <c r="C17" s="77" t="s">
        <v>702</v>
      </c>
      <c r="D17" s="77" t="s">
        <v>703</v>
      </c>
      <c r="E17" s="76"/>
    </row>
    <row r="18" spans="1:5" ht="16.05" customHeight="1" x14ac:dyDescent="0.3">
      <c r="A18" s="81">
        <v>3</v>
      </c>
      <c r="B18" s="82" t="s">
        <v>172</v>
      </c>
      <c r="C18" s="83" t="s">
        <v>704</v>
      </c>
      <c r="D18" s="83" t="s">
        <v>705</v>
      </c>
      <c r="E18" s="84"/>
    </row>
    <row r="19" spans="1:5" ht="16.05" customHeight="1" x14ac:dyDescent="0.3">
      <c r="A19" s="75">
        <v>4</v>
      </c>
      <c r="B19" s="76" t="s">
        <v>161</v>
      </c>
      <c r="C19" s="77" t="s">
        <v>175</v>
      </c>
      <c r="D19" s="77" t="s">
        <v>176</v>
      </c>
      <c r="E19" s="76"/>
    </row>
    <row r="20" spans="1:5" ht="16.95" customHeight="1" x14ac:dyDescent="0.3">
      <c r="A20" s="78"/>
      <c r="B20" s="79" t="s">
        <v>177</v>
      </c>
      <c r="C20" s="80" t="s">
        <v>706</v>
      </c>
      <c r="D20" s="80" t="s">
        <v>707</v>
      </c>
      <c r="E20" s="79"/>
    </row>
    <row r="21" spans="1:5" ht="7.95" customHeight="1" x14ac:dyDescent="0.3"/>
    <row r="22" spans="1:5" ht="19.95" customHeight="1" x14ac:dyDescent="0.3">
      <c r="A22" s="158" t="s">
        <v>180</v>
      </c>
      <c r="B22" s="149"/>
      <c r="C22" s="149"/>
      <c r="D22" s="149"/>
      <c r="E22" s="149"/>
    </row>
    <row r="23" spans="1:5" ht="30" customHeight="1" x14ac:dyDescent="0.3">
      <c r="A23" s="74" t="s">
        <v>97</v>
      </c>
      <c r="B23" s="74" t="s">
        <v>2</v>
      </c>
      <c r="C23" s="74" t="s">
        <v>3</v>
      </c>
      <c r="D23" s="74" t="s">
        <v>4</v>
      </c>
      <c r="E23" s="74"/>
    </row>
    <row r="24" spans="1:5" ht="16.05" customHeight="1" x14ac:dyDescent="0.3">
      <c r="A24" s="69">
        <v>1</v>
      </c>
      <c r="B24" s="70" t="s">
        <v>181</v>
      </c>
      <c r="C24" s="71" t="s">
        <v>708</v>
      </c>
      <c r="D24" s="71" t="s">
        <v>709</v>
      </c>
      <c r="E24" s="70"/>
    </row>
    <row r="25" spans="1:5" ht="16.05" customHeight="1" x14ac:dyDescent="0.3">
      <c r="A25" s="75">
        <v>2</v>
      </c>
      <c r="B25" s="76" t="s">
        <v>184</v>
      </c>
      <c r="C25" s="77" t="s">
        <v>185</v>
      </c>
      <c r="D25" s="77" t="s">
        <v>186</v>
      </c>
      <c r="E25" s="76"/>
    </row>
    <row r="26" spans="1:5" ht="16.05" customHeight="1" x14ac:dyDescent="0.3">
      <c r="A26" s="69">
        <v>3</v>
      </c>
      <c r="B26" s="70" t="s">
        <v>189</v>
      </c>
      <c r="C26" s="71" t="s">
        <v>710</v>
      </c>
      <c r="D26" s="71" t="s">
        <v>711</v>
      </c>
      <c r="E26" s="70"/>
    </row>
    <row r="27" spans="1:5" ht="16.05" customHeight="1" x14ac:dyDescent="0.3">
      <c r="A27" s="75">
        <v>4</v>
      </c>
      <c r="B27" s="76" t="s">
        <v>192</v>
      </c>
      <c r="C27" s="77" t="s">
        <v>193</v>
      </c>
      <c r="D27" s="77" t="s">
        <v>194</v>
      </c>
      <c r="E27" s="76"/>
    </row>
    <row r="28" spans="1:5" ht="16.05" customHeight="1" x14ac:dyDescent="0.3">
      <c r="A28" s="69">
        <v>5</v>
      </c>
      <c r="B28" s="70" t="s">
        <v>195</v>
      </c>
      <c r="C28" s="71" t="s">
        <v>196</v>
      </c>
      <c r="D28" s="71" t="s">
        <v>196</v>
      </c>
      <c r="E28" s="70"/>
    </row>
    <row r="29" spans="1:5" ht="16.05" customHeight="1" x14ac:dyDescent="0.3">
      <c r="A29" s="75">
        <v>6</v>
      </c>
      <c r="B29" s="76" t="s">
        <v>197</v>
      </c>
      <c r="C29" s="77" t="s">
        <v>198</v>
      </c>
      <c r="D29" s="77" t="s">
        <v>199</v>
      </c>
      <c r="E29" s="76"/>
    </row>
    <row r="30" spans="1:5" ht="16.05" customHeight="1" x14ac:dyDescent="0.3">
      <c r="A30" s="69">
        <v>7</v>
      </c>
      <c r="B30" s="70" t="s">
        <v>200</v>
      </c>
      <c r="C30" s="71" t="s">
        <v>201</v>
      </c>
      <c r="D30" s="71" t="s">
        <v>202</v>
      </c>
      <c r="E30" s="70"/>
    </row>
    <row r="31" spans="1:5" ht="16.05" customHeight="1" x14ac:dyDescent="0.3">
      <c r="A31" s="81">
        <v>8</v>
      </c>
      <c r="B31" s="82" t="s">
        <v>203</v>
      </c>
      <c r="C31" s="83" t="s">
        <v>712</v>
      </c>
      <c r="D31" s="83" t="s">
        <v>713</v>
      </c>
      <c r="E31" s="84"/>
    </row>
    <row r="32" spans="1:5" ht="16.05" customHeight="1" x14ac:dyDescent="0.3">
      <c r="A32" s="69">
        <v>9</v>
      </c>
      <c r="B32" s="70" t="s">
        <v>206</v>
      </c>
      <c r="C32" s="71" t="s">
        <v>714</v>
      </c>
      <c r="D32" s="71" t="s">
        <v>715</v>
      </c>
      <c r="E32" s="70"/>
    </row>
    <row r="33" spans="1:5" ht="16.95" customHeight="1" x14ac:dyDescent="0.3">
      <c r="A33" s="78"/>
      <c r="B33" s="79" t="s">
        <v>209</v>
      </c>
      <c r="C33" s="80" t="s">
        <v>716</v>
      </c>
      <c r="D33" s="80" t="s">
        <v>717</v>
      </c>
      <c r="E33" s="79"/>
    </row>
    <row r="34" spans="1:5" ht="7.95" customHeight="1" x14ac:dyDescent="0.3"/>
    <row r="35" spans="1:5" ht="19.95" customHeight="1" x14ac:dyDescent="0.3">
      <c r="A35" s="158" t="s">
        <v>212</v>
      </c>
      <c r="B35" s="149"/>
      <c r="C35" s="149"/>
      <c r="D35" s="149"/>
      <c r="E35" s="149"/>
    </row>
    <row r="36" spans="1:5" ht="30" customHeight="1" x14ac:dyDescent="0.3">
      <c r="A36" s="74" t="s">
        <v>97</v>
      </c>
      <c r="B36" s="74" t="s">
        <v>2</v>
      </c>
      <c r="C36" s="74" t="s">
        <v>3</v>
      </c>
      <c r="D36" s="74" t="s">
        <v>4</v>
      </c>
      <c r="E36" s="74"/>
    </row>
    <row r="37" spans="1:5" ht="16.05" customHeight="1" x14ac:dyDescent="0.3">
      <c r="A37" s="69">
        <v>1</v>
      </c>
      <c r="B37" s="70" t="s">
        <v>213</v>
      </c>
      <c r="C37" s="71" t="s">
        <v>718</v>
      </c>
      <c r="D37" s="71" t="s">
        <v>719</v>
      </c>
      <c r="E37" s="70"/>
    </row>
    <row r="38" spans="1:5" ht="16.95" customHeight="1" x14ac:dyDescent="0.3">
      <c r="A38" s="78"/>
      <c r="B38" s="79" t="s">
        <v>216</v>
      </c>
      <c r="C38" s="80" t="s">
        <v>718</v>
      </c>
      <c r="D38" s="80" t="s">
        <v>719</v>
      </c>
      <c r="E38" s="79"/>
    </row>
    <row r="39" spans="1:5" ht="7.95" customHeight="1" x14ac:dyDescent="0.3"/>
    <row r="40" spans="1:5" ht="19.95" customHeight="1" x14ac:dyDescent="0.3">
      <c r="A40" s="158" t="s">
        <v>217</v>
      </c>
      <c r="B40" s="149"/>
      <c r="C40" s="149"/>
      <c r="D40" s="149"/>
      <c r="E40" s="149"/>
    </row>
    <row r="41" spans="1:5" ht="30" customHeight="1" x14ac:dyDescent="0.3">
      <c r="A41" s="74" t="s">
        <v>97</v>
      </c>
      <c r="B41" s="74" t="s">
        <v>2</v>
      </c>
      <c r="C41" s="74" t="s">
        <v>3</v>
      </c>
      <c r="D41" s="74" t="s">
        <v>4</v>
      </c>
      <c r="E41" s="74"/>
    </row>
    <row r="42" spans="1:5" ht="16.05" customHeight="1" x14ac:dyDescent="0.3">
      <c r="A42" s="69">
        <v>1</v>
      </c>
      <c r="B42" s="70" t="s">
        <v>218</v>
      </c>
      <c r="C42" s="71" t="s">
        <v>219</v>
      </c>
      <c r="D42" s="71" t="s">
        <v>720</v>
      </c>
      <c r="E42" s="70"/>
    </row>
    <row r="43" spans="1:5" ht="16.05" customHeight="1" x14ac:dyDescent="0.3">
      <c r="A43" s="75">
        <v>2</v>
      </c>
      <c r="B43" s="76" t="s">
        <v>221</v>
      </c>
      <c r="C43" s="77" t="s">
        <v>222</v>
      </c>
      <c r="D43" s="77" t="s">
        <v>222</v>
      </c>
      <c r="E43" s="76"/>
    </row>
    <row r="44" spans="1:5" ht="16.05" customHeight="1" x14ac:dyDescent="0.3">
      <c r="A44" s="69">
        <v>3</v>
      </c>
      <c r="B44" s="70" t="s">
        <v>223</v>
      </c>
      <c r="C44" s="71" t="s">
        <v>224</v>
      </c>
      <c r="D44" s="71" t="s">
        <v>721</v>
      </c>
      <c r="E44" s="70"/>
    </row>
    <row r="45" spans="1:5" ht="16.05" customHeight="1" x14ac:dyDescent="0.3">
      <c r="A45" s="75">
        <v>4</v>
      </c>
      <c r="B45" s="76" t="s">
        <v>226</v>
      </c>
      <c r="C45" s="77" t="s">
        <v>227</v>
      </c>
      <c r="D45" s="77" t="s">
        <v>228</v>
      </c>
      <c r="E45" s="76"/>
    </row>
    <row r="46" spans="1:5" ht="16.05" customHeight="1" x14ac:dyDescent="0.3">
      <c r="A46" s="69">
        <v>5</v>
      </c>
      <c r="B46" s="70" t="s">
        <v>229</v>
      </c>
      <c r="C46" s="71" t="s">
        <v>722</v>
      </c>
      <c r="D46" s="71" t="s">
        <v>231</v>
      </c>
      <c r="E46" s="70"/>
    </row>
    <row r="47" spans="1:5" ht="16.05" customHeight="1" x14ac:dyDescent="0.3">
      <c r="A47" s="75">
        <v>6</v>
      </c>
      <c r="B47" s="76" t="s">
        <v>232</v>
      </c>
      <c r="C47" s="77" t="s">
        <v>233</v>
      </c>
      <c r="D47" s="77" t="s">
        <v>234</v>
      </c>
      <c r="E47" s="76"/>
    </row>
    <row r="48" spans="1:5" ht="16.05" customHeight="1" x14ac:dyDescent="0.3">
      <c r="A48" s="69">
        <v>7</v>
      </c>
      <c r="B48" s="70" t="s">
        <v>235</v>
      </c>
      <c r="C48" s="71" t="s">
        <v>723</v>
      </c>
      <c r="D48" s="71" t="s">
        <v>724</v>
      </c>
      <c r="E48" s="70"/>
    </row>
    <row r="49" spans="1:5" ht="16.05" customHeight="1" x14ac:dyDescent="0.3">
      <c r="A49" s="75">
        <v>8</v>
      </c>
      <c r="B49" s="76" t="s">
        <v>238</v>
      </c>
      <c r="C49" s="77" t="s">
        <v>239</v>
      </c>
      <c r="D49" s="77" t="s">
        <v>111</v>
      </c>
      <c r="E49" s="76"/>
    </row>
    <row r="50" spans="1:5" ht="16.05" customHeight="1" x14ac:dyDescent="0.3">
      <c r="A50" s="81">
        <v>9</v>
      </c>
      <c r="B50" s="82" t="s">
        <v>240</v>
      </c>
      <c r="C50" s="83" t="s">
        <v>725</v>
      </c>
      <c r="D50" s="83" t="s">
        <v>726</v>
      </c>
      <c r="E50" s="84"/>
    </row>
    <row r="51" spans="1:5" ht="16.05" customHeight="1" x14ac:dyDescent="0.3">
      <c r="A51" s="75">
        <v>10</v>
      </c>
      <c r="B51" s="76" t="s">
        <v>243</v>
      </c>
      <c r="C51" s="77" t="s">
        <v>727</v>
      </c>
      <c r="D51" s="77" t="s">
        <v>728</v>
      </c>
      <c r="E51" s="76"/>
    </row>
    <row r="52" spans="1:5" ht="16.95" customHeight="1" x14ac:dyDescent="0.3">
      <c r="A52" s="78"/>
      <c r="B52" s="79" t="s">
        <v>246</v>
      </c>
      <c r="C52" s="80" t="s">
        <v>729</v>
      </c>
      <c r="D52" s="80" t="s">
        <v>730</v>
      </c>
      <c r="E52" s="79"/>
    </row>
    <row r="53" spans="1:5" ht="7.95" customHeight="1" x14ac:dyDescent="0.3"/>
    <row r="54" spans="1:5" ht="19.95" customHeight="1" x14ac:dyDescent="0.3">
      <c r="A54" s="158" t="s">
        <v>249</v>
      </c>
      <c r="B54" s="149"/>
      <c r="C54" s="149"/>
      <c r="D54" s="149"/>
      <c r="E54" s="149"/>
    </row>
    <row r="55" spans="1:5" ht="30" customHeight="1" x14ac:dyDescent="0.3">
      <c r="A55" s="74" t="s">
        <v>97</v>
      </c>
      <c r="B55" s="74" t="s">
        <v>2</v>
      </c>
      <c r="C55" s="74" t="s">
        <v>3</v>
      </c>
      <c r="D55" s="74" t="s">
        <v>4</v>
      </c>
      <c r="E55" s="74"/>
    </row>
    <row r="56" spans="1:5" ht="16.05" customHeight="1" x14ac:dyDescent="0.3">
      <c r="A56" s="69">
        <v>1</v>
      </c>
      <c r="B56" s="70" t="s">
        <v>250</v>
      </c>
      <c r="C56" s="71" t="s">
        <v>731</v>
      </c>
      <c r="D56" s="71" t="s">
        <v>732</v>
      </c>
      <c r="E56" s="70"/>
    </row>
    <row r="57" spans="1:5" ht="16.05" customHeight="1" x14ac:dyDescent="0.3">
      <c r="A57" s="75">
        <v>2</v>
      </c>
      <c r="B57" s="76" t="s">
        <v>253</v>
      </c>
      <c r="C57" s="77" t="s">
        <v>254</v>
      </c>
      <c r="D57" s="77" t="s">
        <v>733</v>
      </c>
      <c r="E57" s="76"/>
    </row>
    <row r="58" spans="1:5" ht="16.05" customHeight="1" x14ac:dyDescent="0.3">
      <c r="A58" s="81">
        <v>3</v>
      </c>
      <c r="B58" s="82" t="s">
        <v>256</v>
      </c>
      <c r="C58" s="83" t="s">
        <v>734</v>
      </c>
      <c r="D58" s="83" t="s">
        <v>735</v>
      </c>
      <c r="E58" s="84"/>
    </row>
    <row r="59" spans="1:5" ht="16.05" customHeight="1" x14ac:dyDescent="0.3">
      <c r="A59" s="75">
        <v>4</v>
      </c>
      <c r="B59" s="76" t="s">
        <v>259</v>
      </c>
      <c r="C59" s="77" t="s">
        <v>260</v>
      </c>
      <c r="D59" s="77" t="s">
        <v>261</v>
      </c>
      <c r="E59" s="76"/>
    </row>
    <row r="60" spans="1:5" ht="16.05" customHeight="1" x14ac:dyDescent="0.3">
      <c r="A60" s="69">
        <v>5</v>
      </c>
      <c r="B60" s="70" t="s">
        <v>262</v>
      </c>
      <c r="C60" s="71" t="s">
        <v>736</v>
      </c>
      <c r="D60" s="71" t="s">
        <v>737</v>
      </c>
      <c r="E60" s="70"/>
    </row>
    <row r="61" spans="1:5" ht="16.05" customHeight="1" x14ac:dyDescent="0.3">
      <c r="A61" s="75">
        <v>6</v>
      </c>
      <c r="B61" s="76" t="s">
        <v>265</v>
      </c>
      <c r="C61" s="77" t="s">
        <v>738</v>
      </c>
      <c r="D61" s="77" t="s">
        <v>739</v>
      </c>
      <c r="E61" s="76"/>
    </row>
    <row r="62" spans="1:5" ht="16.05" customHeight="1" x14ac:dyDescent="0.3">
      <c r="A62" s="69">
        <v>7</v>
      </c>
      <c r="B62" s="70" t="s">
        <v>268</v>
      </c>
      <c r="C62" s="71" t="s">
        <v>740</v>
      </c>
      <c r="D62" s="71" t="s">
        <v>741</v>
      </c>
      <c r="E62" s="70"/>
    </row>
    <row r="63" spans="1:5" ht="16.05" customHeight="1" x14ac:dyDescent="0.3">
      <c r="A63" s="75">
        <v>8</v>
      </c>
      <c r="B63" s="76" t="s">
        <v>271</v>
      </c>
      <c r="C63" s="77" t="s">
        <v>742</v>
      </c>
      <c r="D63" s="77" t="s">
        <v>743</v>
      </c>
      <c r="E63" s="76"/>
    </row>
    <row r="64" spans="1:5" ht="16.05" customHeight="1" x14ac:dyDescent="0.3">
      <c r="A64" s="69">
        <v>9</v>
      </c>
      <c r="B64" s="70" t="s">
        <v>274</v>
      </c>
      <c r="C64" s="71" t="s">
        <v>744</v>
      </c>
      <c r="D64" s="71" t="s">
        <v>745</v>
      </c>
      <c r="E64" s="70"/>
    </row>
    <row r="65" spans="1:5" ht="16.05" customHeight="1" x14ac:dyDescent="0.3">
      <c r="A65" s="75">
        <v>10</v>
      </c>
      <c r="B65" s="76" t="s">
        <v>277</v>
      </c>
      <c r="C65" s="77" t="s">
        <v>278</v>
      </c>
      <c r="D65" s="77" t="s">
        <v>279</v>
      </c>
      <c r="E65" s="76"/>
    </row>
    <row r="66" spans="1:5" ht="16.05" customHeight="1" x14ac:dyDescent="0.3">
      <c r="A66" s="69">
        <v>11</v>
      </c>
      <c r="B66" s="70" t="s">
        <v>280</v>
      </c>
      <c r="C66" s="71" t="s">
        <v>281</v>
      </c>
      <c r="D66" s="71" t="s">
        <v>282</v>
      </c>
      <c r="E66" s="70"/>
    </row>
    <row r="67" spans="1:5" ht="16.05" customHeight="1" x14ac:dyDescent="0.3">
      <c r="A67" s="81">
        <v>12</v>
      </c>
      <c r="B67" s="82" t="s">
        <v>283</v>
      </c>
      <c r="C67" s="83" t="s">
        <v>746</v>
      </c>
      <c r="D67" s="83" t="s">
        <v>747</v>
      </c>
      <c r="E67" s="84"/>
    </row>
    <row r="68" spans="1:5" ht="16.05" customHeight="1" x14ac:dyDescent="0.3">
      <c r="A68" s="69">
        <v>13</v>
      </c>
      <c r="B68" s="70" t="s">
        <v>286</v>
      </c>
      <c r="C68" s="71" t="s">
        <v>748</v>
      </c>
      <c r="D68" s="71" t="s">
        <v>749</v>
      </c>
      <c r="E68" s="70"/>
    </row>
    <row r="69" spans="1:5" ht="16.05" customHeight="1" x14ac:dyDescent="0.3">
      <c r="A69" s="75">
        <v>14</v>
      </c>
      <c r="B69" s="76" t="s">
        <v>289</v>
      </c>
      <c r="C69" s="77" t="s">
        <v>750</v>
      </c>
      <c r="D69" s="77" t="s">
        <v>751</v>
      </c>
      <c r="E69" s="76"/>
    </row>
    <row r="70" spans="1:5" ht="16.05" customHeight="1" x14ac:dyDescent="0.3">
      <c r="A70" s="69">
        <v>15</v>
      </c>
      <c r="B70" s="70" t="s">
        <v>292</v>
      </c>
      <c r="C70" s="71" t="s">
        <v>293</v>
      </c>
      <c r="D70" s="71" t="s">
        <v>294</v>
      </c>
      <c r="E70" s="70"/>
    </row>
    <row r="71" spans="1:5" ht="16.95" customHeight="1" x14ac:dyDescent="0.3">
      <c r="A71" s="78"/>
      <c r="B71" s="79" t="s">
        <v>295</v>
      </c>
      <c r="C71" s="80" t="s">
        <v>752</v>
      </c>
      <c r="D71" s="80" t="s">
        <v>753</v>
      </c>
      <c r="E71" s="79"/>
    </row>
    <row r="72" spans="1:5" ht="7.95" customHeight="1" x14ac:dyDescent="0.3"/>
    <row r="73" spans="1:5" ht="19.95" customHeight="1" x14ac:dyDescent="0.3">
      <c r="A73" s="158" t="s">
        <v>298</v>
      </c>
      <c r="B73" s="149"/>
      <c r="C73" s="149"/>
      <c r="D73" s="149"/>
      <c r="E73" s="149"/>
    </row>
    <row r="74" spans="1:5" ht="30" customHeight="1" x14ac:dyDescent="0.3">
      <c r="A74" s="74" t="s">
        <v>97</v>
      </c>
      <c r="B74" s="74" t="s">
        <v>2</v>
      </c>
      <c r="C74" s="74" t="s">
        <v>3</v>
      </c>
      <c r="D74" s="74" t="s">
        <v>4</v>
      </c>
      <c r="E74" s="74"/>
    </row>
    <row r="75" spans="1:5" ht="16.05" customHeight="1" x14ac:dyDescent="0.3">
      <c r="A75" s="69">
        <v>1</v>
      </c>
      <c r="B75" s="70" t="s">
        <v>299</v>
      </c>
      <c r="C75" s="71" t="s">
        <v>111</v>
      </c>
      <c r="D75" s="71" t="s">
        <v>111</v>
      </c>
      <c r="E75" s="70"/>
    </row>
    <row r="76" spans="1:5" ht="16.05" customHeight="1" x14ac:dyDescent="0.3">
      <c r="A76" s="75">
        <v>2</v>
      </c>
      <c r="B76" s="76" t="s">
        <v>300</v>
      </c>
      <c r="C76" s="77" t="s">
        <v>754</v>
      </c>
      <c r="D76" s="77" t="s">
        <v>755</v>
      </c>
      <c r="E76" s="76"/>
    </row>
    <row r="77" spans="1:5" ht="16.05" customHeight="1" x14ac:dyDescent="0.3">
      <c r="A77" s="69">
        <v>3</v>
      </c>
      <c r="B77" s="70" t="s">
        <v>303</v>
      </c>
      <c r="C77" s="71" t="s">
        <v>111</v>
      </c>
      <c r="D77" s="71" t="s">
        <v>111</v>
      </c>
      <c r="E77" s="70"/>
    </row>
    <row r="78" spans="1:5" ht="16.05" customHeight="1" x14ac:dyDescent="0.3">
      <c r="A78" s="75">
        <v>4</v>
      </c>
      <c r="B78" s="76" t="s">
        <v>304</v>
      </c>
      <c r="C78" s="77" t="s">
        <v>305</v>
      </c>
      <c r="D78" s="77" t="s">
        <v>306</v>
      </c>
      <c r="E78" s="76"/>
    </row>
    <row r="79" spans="1:5" ht="16.05" customHeight="1" x14ac:dyDescent="0.3">
      <c r="A79" s="69">
        <v>5</v>
      </c>
      <c r="B79" s="70" t="s">
        <v>161</v>
      </c>
      <c r="C79" s="71" t="s">
        <v>307</v>
      </c>
      <c r="D79" s="71" t="s">
        <v>308</v>
      </c>
      <c r="E79" s="70"/>
    </row>
    <row r="80" spans="1:5" ht="16.95" customHeight="1" x14ac:dyDescent="0.3">
      <c r="A80" s="78"/>
      <c r="B80" s="79" t="s">
        <v>309</v>
      </c>
      <c r="C80" s="80" t="s">
        <v>754</v>
      </c>
      <c r="D80" s="80" t="s">
        <v>755</v>
      </c>
      <c r="E80" s="79"/>
    </row>
    <row r="81" spans="1:5" ht="7.95" customHeight="1" x14ac:dyDescent="0.3"/>
    <row r="82" spans="1:5" ht="19.95" customHeight="1" x14ac:dyDescent="0.3">
      <c r="A82" s="158" t="s">
        <v>310</v>
      </c>
      <c r="B82" s="149"/>
      <c r="C82" s="149"/>
      <c r="D82" s="149"/>
      <c r="E82" s="149"/>
    </row>
    <row r="83" spans="1:5" ht="30" customHeight="1" x14ac:dyDescent="0.3">
      <c r="A83" s="74" t="s">
        <v>97</v>
      </c>
      <c r="B83" s="74" t="s">
        <v>2</v>
      </c>
      <c r="C83" s="74" t="s">
        <v>3</v>
      </c>
      <c r="D83" s="74" t="s">
        <v>4</v>
      </c>
      <c r="E83" s="74"/>
    </row>
    <row r="84" spans="1:5" ht="16.05" customHeight="1" x14ac:dyDescent="0.3">
      <c r="A84" s="69">
        <v>1</v>
      </c>
      <c r="B84" s="70" t="s">
        <v>311</v>
      </c>
      <c r="C84" s="71" t="s">
        <v>756</v>
      </c>
      <c r="D84" s="71" t="s">
        <v>757</v>
      </c>
      <c r="E84" s="70"/>
    </row>
    <row r="85" spans="1:5" ht="16.05" customHeight="1" x14ac:dyDescent="0.3">
      <c r="A85" s="75">
        <v>2</v>
      </c>
      <c r="B85" s="76" t="s">
        <v>314</v>
      </c>
      <c r="C85" s="77" t="s">
        <v>758</v>
      </c>
      <c r="D85" s="77" t="s">
        <v>759</v>
      </c>
      <c r="E85" s="76"/>
    </row>
    <row r="86" spans="1:5" ht="16.05" customHeight="1" x14ac:dyDescent="0.3">
      <c r="A86" s="69">
        <v>3</v>
      </c>
      <c r="B86" s="70" t="s">
        <v>316</v>
      </c>
      <c r="C86" s="71" t="s">
        <v>111</v>
      </c>
      <c r="D86" s="71" t="s">
        <v>111</v>
      </c>
      <c r="E86" s="70"/>
    </row>
    <row r="87" spans="1:5" ht="16.05" customHeight="1" x14ac:dyDescent="0.3">
      <c r="A87" s="75">
        <v>4</v>
      </c>
      <c r="B87" s="76" t="s">
        <v>318</v>
      </c>
      <c r="C87" s="77" t="s">
        <v>319</v>
      </c>
      <c r="D87" s="77" t="s">
        <v>320</v>
      </c>
      <c r="E87" s="76"/>
    </row>
    <row r="88" spans="1:5" ht="16.05" customHeight="1" x14ac:dyDescent="0.3">
      <c r="A88" s="69">
        <v>5</v>
      </c>
      <c r="B88" s="70" t="s">
        <v>317</v>
      </c>
      <c r="C88" s="71" t="s">
        <v>111</v>
      </c>
      <c r="D88" s="71" t="s">
        <v>111</v>
      </c>
      <c r="E88" s="70"/>
    </row>
    <row r="89" spans="1:5" ht="16.95" customHeight="1" x14ac:dyDescent="0.3">
      <c r="A89" s="78"/>
      <c r="B89" s="79" t="s">
        <v>321</v>
      </c>
      <c r="C89" s="80" t="s">
        <v>696</v>
      </c>
      <c r="D89" s="80" t="s">
        <v>695</v>
      </c>
      <c r="E89" s="79"/>
    </row>
    <row r="90" spans="1:5" ht="7.95" customHeight="1" x14ac:dyDescent="0.3"/>
    <row r="91" spans="1:5" ht="19.95" customHeight="1" x14ac:dyDescent="0.3">
      <c r="A91" s="158" t="s">
        <v>322</v>
      </c>
      <c r="B91" s="149"/>
      <c r="C91" s="149"/>
      <c r="D91" s="149"/>
      <c r="E91" s="149"/>
    </row>
    <row r="92" spans="1:5" ht="30" customHeight="1" x14ac:dyDescent="0.3">
      <c r="A92" s="74" t="s">
        <v>97</v>
      </c>
      <c r="B92" s="74" t="s">
        <v>2</v>
      </c>
      <c r="C92" s="74" t="s">
        <v>3</v>
      </c>
      <c r="D92" s="74" t="s">
        <v>4</v>
      </c>
      <c r="E92" s="74"/>
    </row>
    <row r="93" spans="1:5" ht="16.05" customHeight="1" x14ac:dyDescent="0.3">
      <c r="A93" s="69">
        <v>1</v>
      </c>
      <c r="B93" s="70" t="s">
        <v>323</v>
      </c>
      <c r="C93" s="71" t="s">
        <v>324</v>
      </c>
      <c r="D93" s="71" t="s">
        <v>325</v>
      </c>
      <c r="E93" s="70"/>
    </row>
    <row r="94" spans="1:5" ht="16.05" customHeight="1" x14ac:dyDescent="0.3">
      <c r="A94" s="75">
        <v>2</v>
      </c>
      <c r="B94" s="76" t="s">
        <v>326</v>
      </c>
      <c r="C94" s="77" t="s">
        <v>327</v>
      </c>
      <c r="D94" s="77" t="s">
        <v>328</v>
      </c>
      <c r="E94" s="76"/>
    </row>
    <row r="95" spans="1:5" ht="16.05" customHeight="1" x14ac:dyDescent="0.3">
      <c r="A95" s="69">
        <v>3</v>
      </c>
      <c r="B95" s="70" t="s">
        <v>329</v>
      </c>
      <c r="C95" s="71" t="s">
        <v>330</v>
      </c>
      <c r="D95" s="71" t="s">
        <v>331</v>
      </c>
      <c r="E95" s="70"/>
    </row>
    <row r="96" spans="1:5" ht="16.05" customHeight="1" x14ac:dyDescent="0.3">
      <c r="A96" s="75">
        <v>4</v>
      </c>
      <c r="B96" s="76" t="s">
        <v>332</v>
      </c>
      <c r="C96" s="77" t="s">
        <v>333</v>
      </c>
      <c r="D96" s="77" t="s">
        <v>760</v>
      </c>
      <c r="E96" s="76"/>
    </row>
    <row r="97" spans="1:5" ht="16.05" customHeight="1" x14ac:dyDescent="0.3">
      <c r="A97" s="69">
        <v>5</v>
      </c>
      <c r="B97" s="70" t="s">
        <v>335</v>
      </c>
      <c r="C97" s="71" t="s">
        <v>336</v>
      </c>
      <c r="D97" s="71" t="s">
        <v>111</v>
      </c>
      <c r="E97" s="70"/>
    </row>
    <row r="98" spans="1:5" ht="16.05" customHeight="1" x14ac:dyDescent="0.3">
      <c r="A98" s="75">
        <v>6</v>
      </c>
      <c r="B98" s="76" t="s">
        <v>761</v>
      </c>
      <c r="C98" s="77" t="s">
        <v>762</v>
      </c>
      <c r="D98" s="77" t="s">
        <v>763</v>
      </c>
      <c r="E98" s="76"/>
    </row>
    <row r="99" spans="1:5" ht="16.95" customHeight="1" x14ac:dyDescent="0.3">
      <c r="A99" s="78"/>
      <c r="B99" s="79" t="s">
        <v>338</v>
      </c>
      <c r="C99" s="80" t="s">
        <v>764</v>
      </c>
      <c r="D99" s="80" t="s">
        <v>765</v>
      </c>
      <c r="E99" s="79"/>
    </row>
    <row r="100" spans="1:5" ht="7.95" customHeight="1" x14ac:dyDescent="0.3"/>
    <row r="101" spans="1:5" ht="19.95" customHeight="1" x14ac:dyDescent="0.3">
      <c r="A101" s="158" t="s">
        <v>341</v>
      </c>
      <c r="B101" s="149"/>
      <c r="C101" s="149"/>
      <c r="D101" s="149"/>
      <c r="E101" s="149"/>
    </row>
    <row r="102" spans="1:5" ht="30" customHeight="1" x14ac:dyDescent="0.3">
      <c r="A102" s="74" t="s">
        <v>97</v>
      </c>
      <c r="B102" s="74" t="s">
        <v>2</v>
      </c>
      <c r="C102" s="74" t="s">
        <v>3</v>
      </c>
      <c r="D102" s="74" t="s">
        <v>4</v>
      </c>
      <c r="E102" s="74"/>
    </row>
    <row r="103" spans="1:5" ht="16.05" customHeight="1" x14ac:dyDescent="0.3">
      <c r="A103" s="69">
        <v>1</v>
      </c>
      <c r="B103" s="70" t="s">
        <v>342</v>
      </c>
      <c r="C103" s="71" t="s">
        <v>343</v>
      </c>
      <c r="D103" s="71" t="s">
        <v>344</v>
      </c>
      <c r="E103" s="70"/>
    </row>
    <row r="104" spans="1:5" ht="16.05" customHeight="1" x14ac:dyDescent="0.3">
      <c r="A104" s="75">
        <v>2</v>
      </c>
      <c r="B104" s="76" t="s">
        <v>347</v>
      </c>
      <c r="C104" s="77" t="s">
        <v>346</v>
      </c>
      <c r="D104" s="77" t="s">
        <v>346</v>
      </c>
      <c r="E104" s="76"/>
    </row>
    <row r="105" spans="1:5" ht="16.05" customHeight="1" x14ac:dyDescent="0.3">
      <c r="A105" s="81">
        <v>3</v>
      </c>
      <c r="B105" s="82" t="s">
        <v>172</v>
      </c>
      <c r="C105" s="83" t="s">
        <v>348</v>
      </c>
      <c r="D105" s="83" t="s">
        <v>349</v>
      </c>
      <c r="E105" s="84"/>
    </row>
    <row r="106" spans="1:5" ht="16.05" customHeight="1" x14ac:dyDescent="0.3">
      <c r="A106" s="75">
        <v>4</v>
      </c>
      <c r="B106" s="76" t="s">
        <v>161</v>
      </c>
      <c r="C106" s="77" t="s">
        <v>176</v>
      </c>
      <c r="D106" s="77" t="s">
        <v>176</v>
      </c>
      <c r="E106" s="76"/>
    </row>
    <row r="107" spans="1:5" ht="16.95" customHeight="1" x14ac:dyDescent="0.3">
      <c r="A107" s="78"/>
      <c r="B107" s="79" t="s">
        <v>350</v>
      </c>
      <c r="C107" s="80" t="s">
        <v>351</v>
      </c>
      <c r="D107" s="80" t="s">
        <v>352</v>
      </c>
      <c r="E107" s="79"/>
    </row>
    <row r="108" spans="1:5" ht="7.95" customHeight="1" x14ac:dyDescent="0.3"/>
    <row r="109" spans="1:5" ht="19.95" customHeight="1" x14ac:dyDescent="0.3">
      <c r="A109" s="158" t="s">
        <v>353</v>
      </c>
      <c r="B109" s="149"/>
      <c r="C109" s="149"/>
      <c r="D109" s="149"/>
      <c r="E109" s="149"/>
    </row>
    <row r="110" spans="1:5" ht="30" customHeight="1" x14ac:dyDescent="0.3">
      <c r="A110" s="74" t="s">
        <v>97</v>
      </c>
      <c r="B110" s="74" t="s">
        <v>2</v>
      </c>
      <c r="C110" s="74" t="s">
        <v>3</v>
      </c>
      <c r="D110" s="74" t="s">
        <v>4</v>
      </c>
      <c r="E110" s="74"/>
    </row>
    <row r="111" spans="1:5" ht="16.05" customHeight="1" x14ac:dyDescent="0.3">
      <c r="A111" s="69">
        <v>1</v>
      </c>
      <c r="B111" s="70" t="s">
        <v>181</v>
      </c>
      <c r="C111" s="71" t="s">
        <v>354</v>
      </c>
      <c r="D111" s="71" t="s">
        <v>355</v>
      </c>
      <c r="E111" s="70"/>
    </row>
    <row r="112" spans="1:5" ht="16.05" customHeight="1" x14ac:dyDescent="0.3">
      <c r="A112" s="75">
        <v>2</v>
      </c>
      <c r="B112" s="76" t="s">
        <v>189</v>
      </c>
      <c r="C112" s="77" t="s">
        <v>766</v>
      </c>
      <c r="D112" s="77" t="s">
        <v>767</v>
      </c>
      <c r="E112" s="76"/>
    </row>
    <row r="113" spans="1:5" ht="16.05" customHeight="1" x14ac:dyDescent="0.3">
      <c r="A113" s="69">
        <v>3</v>
      </c>
      <c r="B113" s="70" t="s">
        <v>197</v>
      </c>
      <c r="C113" s="71" t="s">
        <v>768</v>
      </c>
      <c r="D113" s="71" t="s">
        <v>769</v>
      </c>
      <c r="E113" s="70"/>
    </row>
    <row r="114" spans="1:5" ht="16.05" customHeight="1" x14ac:dyDescent="0.3">
      <c r="A114" s="75">
        <v>4</v>
      </c>
      <c r="B114" s="76" t="s">
        <v>360</v>
      </c>
      <c r="C114" s="77" t="s">
        <v>361</v>
      </c>
      <c r="D114" s="77" t="s">
        <v>362</v>
      </c>
      <c r="E114" s="76"/>
    </row>
    <row r="115" spans="1:5" ht="16.05" customHeight="1" x14ac:dyDescent="0.3">
      <c r="A115" s="69">
        <v>5</v>
      </c>
      <c r="B115" s="70" t="s">
        <v>363</v>
      </c>
      <c r="C115" s="71" t="s">
        <v>364</v>
      </c>
      <c r="D115" s="71" t="s">
        <v>365</v>
      </c>
      <c r="E115" s="70"/>
    </row>
    <row r="116" spans="1:5" ht="16.05" customHeight="1" x14ac:dyDescent="0.3">
      <c r="A116" s="75">
        <v>6</v>
      </c>
      <c r="B116" s="76" t="s">
        <v>770</v>
      </c>
      <c r="C116" s="77" t="s">
        <v>367</v>
      </c>
      <c r="D116" s="77" t="s">
        <v>368</v>
      </c>
      <c r="E116" s="76"/>
    </row>
    <row r="117" spans="1:5" ht="16.05" customHeight="1" x14ac:dyDescent="0.3">
      <c r="A117" s="69">
        <v>7</v>
      </c>
      <c r="B117" s="70" t="s">
        <v>369</v>
      </c>
      <c r="C117" s="71" t="s">
        <v>370</v>
      </c>
      <c r="D117" s="71" t="s">
        <v>371</v>
      </c>
      <c r="E117" s="70"/>
    </row>
    <row r="118" spans="1:5" ht="16.05" customHeight="1" x14ac:dyDescent="0.3">
      <c r="A118" s="75">
        <v>8</v>
      </c>
      <c r="B118" s="76" t="s">
        <v>771</v>
      </c>
      <c r="C118" s="77" t="s">
        <v>373</v>
      </c>
      <c r="D118" s="77" t="s">
        <v>772</v>
      </c>
      <c r="E118" s="76"/>
    </row>
    <row r="119" spans="1:5" ht="16.05" customHeight="1" x14ac:dyDescent="0.3">
      <c r="A119" s="81">
        <v>9</v>
      </c>
      <c r="B119" s="82" t="s">
        <v>375</v>
      </c>
      <c r="C119" s="83" t="s">
        <v>773</v>
      </c>
      <c r="D119" s="83" t="s">
        <v>774</v>
      </c>
      <c r="E119" s="84"/>
    </row>
    <row r="120" spans="1:5" ht="16.05" customHeight="1" x14ac:dyDescent="0.3">
      <c r="A120" s="75">
        <v>10</v>
      </c>
      <c r="B120" s="76" t="s">
        <v>206</v>
      </c>
      <c r="C120" s="77" t="s">
        <v>378</v>
      </c>
      <c r="D120" s="77" t="s">
        <v>775</v>
      </c>
      <c r="E120" s="76"/>
    </row>
    <row r="121" spans="1:5" ht="16.95" customHeight="1" x14ac:dyDescent="0.3">
      <c r="A121" s="78"/>
      <c r="B121" s="79" t="s">
        <v>380</v>
      </c>
      <c r="C121" s="80" t="s">
        <v>776</v>
      </c>
      <c r="D121" s="80" t="s">
        <v>777</v>
      </c>
      <c r="E121" s="79"/>
    </row>
    <row r="122" spans="1:5" ht="7.95" customHeight="1" x14ac:dyDescent="0.3"/>
    <row r="123" spans="1:5" ht="19.95" customHeight="1" x14ac:dyDescent="0.3">
      <c r="A123" s="158" t="s">
        <v>383</v>
      </c>
      <c r="B123" s="149"/>
      <c r="C123" s="149"/>
      <c r="D123" s="149"/>
      <c r="E123" s="149"/>
    </row>
    <row r="124" spans="1:5" ht="30" customHeight="1" x14ac:dyDescent="0.3">
      <c r="A124" s="74" t="s">
        <v>97</v>
      </c>
      <c r="B124" s="74" t="s">
        <v>2</v>
      </c>
      <c r="C124" s="74" t="s">
        <v>3</v>
      </c>
      <c r="D124" s="74" t="s">
        <v>4</v>
      </c>
      <c r="E124" s="74"/>
    </row>
    <row r="125" spans="1:5" ht="16.05" customHeight="1" x14ac:dyDescent="0.3">
      <c r="A125" s="69">
        <v>1</v>
      </c>
      <c r="B125" s="70" t="s">
        <v>384</v>
      </c>
      <c r="C125" s="71" t="s">
        <v>778</v>
      </c>
      <c r="D125" s="71" t="s">
        <v>779</v>
      </c>
      <c r="E125" s="70"/>
    </row>
    <row r="126" spans="1:5" ht="16.05" customHeight="1" x14ac:dyDescent="0.3">
      <c r="A126" s="75">
        <v>2</v>
      </c>
      <c r="B126" s="76" t="s">
        <v>387</v>
      </c>
      <c r="C126" s="89">
        <v>1624.45</v>
      </c>
      <c r="D126" s="89">
        <v>2923.93</v>
      </c>
      <c r="E126" s="76"/>
    </row>
    <row r="127" spans="1:5" ht="16.05" customHeight="1" x14ac:dyDescent="0.3">
      <c r="A127" s="69">
        <v>3</v>
      </c>
      <c r="B127" s="70" t="s">
        <v>398</v>
      </c>
      <c r="C127" s="90">
        <v>102.23</v>
      </c>
      <c r="D127" s="90">
        <v>57.58</v>
      </c>
      <c r="E127" s="70"/>
    </row>
    <row r="128" spans="1:5" ht="16.05" customHeight="1" x14ac:dyDescent="0.3">
      <c r="A128" s="75">
        <v>4</v>
      </c>
      <c r="B128" s="76" t="s">
        <v>401</v>
      </c>
      <c r="C128" s="89">
        <v>12.32</v>
      </c>
      <c r="D128" s="89">
        <v>1.43</v>
      </c>
      <c r="E128" s="76"/>
    </row>
    <row r="129" spans="1:5" ht="16.05" customHeight="1" x14ac:dyDescent="0.3">
      <c r="A129" s="69">
        <v>5</v>
      </c>
      <c r="B129" s="70" t="s">
        <v>404</v>
      </c>
      <c r="C129" s="90">
        <v>1.68</v>
      </c>
      <c r="D129" s="90">
        <v>5.16</v>
      </c>
      <c r="E129" s="70"/>
    </row>
    <row r="130" spans="1:5" ht="16.05" customHeight="1" x14ac:dyDescent="0.3">
      <c r="A130" s="75">
        <v>6</v>
      </c>
      <c r="B130" s="76" t="s">
        <v>407</v>
      </c>
      <c r="C130" s="89">
        <v>322.86</v>
      </c>
      <c r="D130" s="89">
        <v>716.36</v>
      </c>
      <c r="E130" s="76"/>
    </row>
    <row r="131" spans="1:5" ht="16.05" customHeight="1" x14ac:dyDescent="0.3">
      <c r="A131" s="69">
        <v>7</v>
      </c>
      <c r="B131" s="70" t="s">
        <v>410</v>
      </c>
      <c r="C131" s="90">
        <v>1.28</v>
      </c>
      <c r="D131" s="90">
        <v>0.16</v>
      </c>
      <c r="E131" s="70"/>
    </row>
    <row r="132" spans="1:5" ht="16.05" customHeight="1" x14ac:dyDescent="0.3">
      <c r="A132" s="75">
        <v>8</v>
      </c>
      <c r="B132" s="76" t="s">
        <v>232</v>
      </c>
      <c r="C132" s="89">
        <v>74.2</v>
      </c>
      <c r="D132" s="89">
        <v>75.2</v>
      </c>
      <c r="E132" s="76"/>
    </row>
    <row r="133" spans="1:5" ht="16.05" customHeight="1" x14ac:dyDescent="0.3">
      <c r="A133" s="69">
        <v>9</v>
      </c>
      <c r="B133" s="70" t="s">
        <v>780</v>
      </c>
      <c r="C133" s="90">
        <v>67.14</v>
      </c>
      <c r="D133" s="90">
        <v>75.61</v>
      </c>
      <c r="E133" s="70"/>
    </row>
    <row r="134" spans="1:5" ht="16.05" customHeight="1" x14ac:dyDescent="0.3">
      <c r="A134" s="75">
        <v>10</v>
      </c>
      <c r="B134" s="76" t="s">
        <v>417</v>
      </c>
      <c r="C134" s="89">
        <v>12.69</v>
      </c>
      <c r="D134" s="89">
        <v>37.53</v>
      </c>
      <c r="E134" s="76"/>
    </row>
    <row r="135" spans="1:5" ht="16.05" customHeight="1" x14ac:dyDescent="0.3">
      <c r="A135" s="81">
        <v>11</v>
      </c>
      <c r="B135" s="82" t="s">
        <v>172</v>
      </c>
      <c r="C135" s="134">
        <v>2993.27</v>
      </c>
      <c r="D135" s="134">
        <v>4571.16</v>
      </c>
      <c r="E135" s="84"/>
    </row>
    <row r="136" spans="1:5" ht="16.05" customHeight="1" x14ac:dyDescent="0.3">
      <c r="A136" s="75">
        <v>12</v>
      </c>
      <c r="B136" s="76" t="s">
        <v>243</v>
      </c>
      <c r="C136" s="89">
        <v>-81.319999999999993</v>
      </c>
      <c r="D136" s="89">
        <v>-28.84</v>
      </c>
      <c r="E136" s="76"/>
    </row>
    <row r="137" spans="1:5" ht="16.95" customHeight="1" x14ac:dyDescent="0.3">
      <c r="A137" s="78"/>
      <c r="B137" s="79" t="s">
        <v>424</v>
      </c>
      <c r="C137" s="91">
        <v>2911.95</v>
      </c>
      <c r="D137" s="80" t="s">
        <v>781</v>
      </c>
      <c r="E137" s="79"/>
    </row>
    <row r="138" spans="1:5" ht="7.95" customHeight="1" x14ac:dyDescent="0.3"/>
    <row r="139" spans="1:5" ht="19.95" customHeight="1" x14ac:dyDescent="0.3">
      <c r="A139" s="158" t="s">
        <v>427</v>
      </c>
      <c r="B139" s="149"/>
      <c r="C139" s="149"/>
      <c r="D139" s="149"/>
      <c r="E139" s="149"/>
    </row>
    <row r="140" spans="1:5" ht="30" customHeight="1" x14ac:dyDescent="0.3">
      <c r="A140" s="74" t="s">
        <v>97</v>
      </c>
      <c r="B140" s="74" t="s">
        <v>2</v>
      </c>
      <c r="C140" s="74" t="s">
        <v>3</v>
      </c>
      <c r="D140" s="74" t="s">
        <v>4</v>
      </c>
      <c r="E140" s="74"/>
    </row>
    <row r="141" spans="1:5" ht="16.05" customHeight="1" x14ac:dyDescent="0.3">
      <c r="A141" s="69">
        <v>1</v>
      </c>
      <c r="B141" s="70" t="s">
        <v>428</v>
      </c>
      <c r="C141" s="71" t="s">
        <v>429</v>
      </c>
      <c r="D141" s="71" t="s">
        <v>430</v>
      </c>
      <c r="E141" s="70"/>
    </row>
    <row r="142" spans="1:5" ht="16.95" customHeight="1" x14ac:dyDescent="0.3">
      <c r="A142" s="78"/>
      <c r="B142" s="79" t="s">
        <v>431</v>
      </c>
      <c r="C142" s="80" t="s">
        <v>429</v>
      </c>
      <c r="D142" s="80" t="s">
        <v>430</v>
      </c>
      <c r="E142" s="79"/>
    </row>
    <row r="143" spans="1:5" ht="7.95" customHeight="1" x14ac:dyDescent="0.3"/>
    <row r="144" spans="1:5" ht="19.95" customHeight="1" x14ac:dyDescent="0.3">
      <c r="A144" s="158" t="s">
        <v>432</v>
      </c>
      <c r="B144" s="149"/>
      <c r="C144" s="149"/>
      <c r="D144" s="149"/>
      <c r="E144" s="149"/>
    </row>
    <row r="145" spans="1:5" ht="30" customHeight="1" x14ac:dyDescent="0.3">
      <c r="A145" s="74" t="s">
        <v>97</v>
      </c>
      <c r="B145" s="74" t="s">
        <v>2</v>
      </c>
      <c r="C145" s="74" t="s">
        <v>3</v>
      </c>
      <c r="D145" s="74" t="s">
        <v>4</v>
      </c>
      <c r="E145" s="74"/>
    </row>
    <row r="146" spans="1:5" ht="16.05" customHeight="1" x14ac:dyDescent="0.3">
      <c r="A146" s="69">
        <v>1</v>
      </c>
      <c r="B146" s="70" t="s">
        <v>433</v>
      </c>
      <c r="C146" s="90">
        <v>5000</v>
      </c>
      <c r="D146" s="90">
        <v>5000</v>
      </c>
      <c r="E146" s="70"/>
    </row>
    <row r="147" spans="1:5" ht="16.05" customHeight="1" x14ac:dyDescent="0.3">
      <c r="A147" s="75">
        <v>2</v>
      </c>
      <c r="B147" s="76" t="s">
        <v>434</v>
      </c>
      <c r="C147" s="89">
        <v>4130.42</v>
      </c>
      <c r="D147" s="89">
        <v>4130.42</v>
      </c>
      <c r="E147" s="76"/>
    </row>
    <row r="148" spans="1:5" ht="16.05" customHeight="1" x14ac:dyDescent="0.3">
      <c r="A148" s="69">
        <v>3</v>
      </c>
      <c r="B148" s="70" t="s">
        <v>435</v>
      </c>
      <c r="C148" s="90">
        <v>0.04</v>
      </c>
      <c r="D148" s="71" t="s">
        <v>111</v>
      </c>
      <c r="E148" s="70"/>
    </row>
    <row r="149" spans="1:5" ht="16.05" customHeight="1" x14ac:dyDescent="0.3">
      <c r="A149" s="75">
        <v>4</v>
      </c>
      <c r="B149" s="76" t="s">
        <v>436</v>
      </c>
      <c r="C149" s="89">
        <v>4130.46</v>
      </c>
      <c r="D149" s="89">
        <v>4130.42</v>
      </c>
      <c r="E149" s="76"/>
    </row>
    <row r="150" spans="1:5" ht="16.05" customHeight="1" x14ac:dyDescent="0.3">
      <c r="A150" s="69">
        <v>5</v>
      </c>
      <c r="B150" s="70" t="s">
        <v>437</v>
      </c>
      <c r="C150" s="90">
        <v>0.11</v>
      </c>
      <c r="D150" s="90">
        <v>0.11</v>
      </c>
      <c r="E150" s="70"/>
    </row>
    <row r="151" spans="1:5" ht="16.05" customHeight="1" x14ac:dyDescent="0.3">
      <c r="A151" s="75">
        <v>6</v>
      </c>
      <c r="B151" s="76" t="s">
        <v>438</v>
      </c>
      <c r="C151" s="89">
        <v>-0.04</v>
      </c>
      <c r="D151" s="77" t="s">
        <v>111</v>
      </c>
      <c r="E151" s="76"/>
    </row>
    <row r="152" spans="1:5" ht="16.05" customHeight="1" x14ac:dyDescent="0.3">
      <c r="A152" s="69">
        <v>7</v>
      </c>
      <c r="B152" s="70" t="s">
        <v>439</v>
      </c>
      <c r="C152" s="90">
        <v>7.0000000000000007E-2</v>
      </c>
      <c r="D152" s="90">
        <v>0.11</v>
      </c>
      <c r="E152" s="70"/>
    </row>
    <row r="153" spans="1:5" ht="16.95" customHeight="1" x14ac:dyDescent="0.3">
      <c r="A153" s="78"/>
      <c r="B153" s="79" t="s">
        <v>440</v>
      </c>
      <c r="C153" s="91">
        <v>4130.53</v>
      </c>
      <c r="D153" s="91">
        <v>4130.53</v>
      </c>
      <c r="E153" s="79"/>
    </row>
    <row r="154" spans="1:5" ht="7.95" customHeight="1" x14ac:dyDescent="0.3"/>
    <row r="155" spans="1:5" ht="19.95" customHeight="1" x14ac:dyDescent="0.3">
      <c r="A155" s="158" t="s">
        <v>441</v>
      </c>
      <c r="B155" s="149"/>
      <c r="C155" s="149"/>
      <c r="D155" s="149"/>
      <c r="E155" s="149"/>
    </row>
    <row r="156" spans="1:5" ht="30" customHeight="1" x14ac:dyDescent="0.3">
      <c r="A156" s="74" t="s">
        <v>97</v>
      </c>
      <c r="B156" s="74" t="s">
        <v>2</v>
      </c>
      <c r="C156" s="74" t="s">
        <v>3</v>
      </c>
      <c r="D156" s="74" t="s">
        <v>4</v>
      </c>
      <c r="E156" s="74"/>
    </row>
    <row r="157" spans="1:5" ht="16.05" customHeight="1" x14ac:dyDescent="0.3">
      <c r="A157" s="69">
        <v>1</v>
      </c>
      <c r="B157" s="70" t="s">
        <v>782</v>
      </c>
      <c r="C157" s="87">
        <v>511.67</v>
      </c>
      <c r="D157" s="87">
        <v>511.67</v>
      </c>
      <c r="E157" s="70"/>
    </row>
    <row r="158" spans="1:5" ht="16.05" customHeight="1" x14ac:dyDescent="0.3">
      <c r="A158" s="75">
        <v>2</v>
      </c>
      <c r="B158" s="76" t="s">
        <v>783</v>
      </c>
      <c r="C158" s="86">
        <v>235.1</v>
      </c>
      <c r="D158" s="86">
        <v>235.1</v>
      </c>
      <c r="E158" s="76"/>
    </row>
    <row r="159" spans="1:5" ht="16.05" customHeight="1" x14ac:dyDescent="0.3">
      <c r="A159" s="69">
        <v>3</v>
      </c>
      <c r="B159" s="70" t="s">
        <v>784</v>
      </c>
      <c r="C159" s="87">
        <v>0.02</v>
      </c>
      <c r="D159" s="87" t="s">
        <v>111</v>
      </c>
      <c r="E159" s="70"/>
    </row>
    <row r="160" spans="1:5" ht="16.05" customHeight="1" x14ac:dyDescent="0.3">
      <c r="A160" s="75">
        <v>4</v>
      </c>
      <c r="B160" s="76" t="s">
        <v>785</v>
      </c>
      <c r="C160" s="86">
        <v>235.12</v>
      </c>
      <c r="D160" s="86">
        <v>235.1</v>
      </c>
      <c r="E160" s="76"/>
    </row>
    <row r="161" spans="1:5" ht="16.05" customHeight="1" x14ac:dyDescent="0.3">
      <c r="A161" s="69">
        <v>5</v>
      </c>
      <c r="B161" s="70" t="s">
        <v>445</v>
      </c>
      <c r="C161" s="87">
        <v>123.78</v>
      </c>
      <c r="D161" s="87">
        <v>373.71</v>
      </c>
      <c r="E161" s="70"/>
    </row>
    <row r="162" spans="1:5" ht="16.05" customHeight="1" x14ac:dyDescent="0.3">
      <c r="A162" s="75">
        <v>6</v>
      </c>
      <c r="B162" s="76" t="s">
        <v>446</v>
      </c>
      <c r="C162" s="86">
        <v>-121.72</v>
      </c>
      <c r="D162" s="86">
        <v>-249.93</v>
      </c>
      <c r="E162" s="76"/>
    </row>
    <row r="163" spans="1:5" ht="16.05" customHeight="1" x14ac:dyDescent="0.3">
      <c r="A163" s="69">
        <v>7</v>
      </c>
      <c r="B163" s="70" t="s">
        <v>447</v>
      </c>
      <c r="C163" s="87">
        <v>2.06</v>
      </c>
      <c r="D163" s="87">
        <v>123.78</v>
      </c>
      <c r="E163" s="70"/>
    </row>
    <row r="164" spans="1:5" ht="16.05" customHeight="1" x14ac:dyDescent="0.3">
      <c r="A164" s="75">
        <v>8</v>
      </c>
      <c r="B164" s="76" t="s">
        <v>786</v>
      </c>
      <c r="C164" s="86">
        <v>5114.6899999999996</v>
      </c>
      <c r="D164" s="86">
        <v>5112.67</v>
      </c>
      <c r="E164" s="76"/>
    </row>
    <row r="165" spans="1:5" ht="16.05" customHeight="1" x14ac:dyDescent="0.3">
      <c r="A165" s="69">
        <v>9</v>
      </c>
      <c r="B165" s="70" t="s">
        <v>787</v>
      </c>
      <c r="C165" s="87">
        <v>1.79</v>
      </c>
      <c r="D165" s="87">
        <v>2.02</v>
      </c>
      <c r="E165" s="70"/>
    </row>
    <row r="166" spans="1:5" ht="16.05" customHeight="1" x14ac:dyDescent="0.3">
      <c r="A166" s="75">
        <v>10</v>
      </c>
      <c r="B166" s="76" t="s">
        <v>788</v>
      </c>
      <c r="C166" s="86">
        <v>5116.4799999999996</v>
      </c>
      <c r="D166" s="86">
        <v>5114.6899999999996</v>
      </c>
      <c r="E166" s="76"/>
    </row>
    <row r="167" spans="1:5" ht="16.05" customHeight="1" x14ac:dyDescent="0.3">
      <c r="A167" s="69">
        <v>11</v>
      </c>
      <c r="B167" s="70" t="s">
        <v>449</v>
      </c>
      <c r="C167" s="87">
        <v>46379.3</v>
      </c>
      <c r="D167" s="87">
        <v>43863.48</v>
      </c>
      <c r="E167" s="70"/>
    </row>
    <row r="168" spans="1:5" ht="16.05" customHeight="1" x14ac:dyDescent="0.3">
      <c r="A168" s="75">
        <v>12</v>
      </c>
      <c r="B168" s="76" t="s">
        <v>450</v>
      </c>
      <c r="C168" s="86">
        <v>2371.8000000000002</v>
      </c>
      <c r="D168" s="86">
        <v>3066.67</v>
      </c>
      <c r="E168" s="76"/>
    </row>
    <row r="169" spans="1:5" ht="16.05" customHeight="1" x14ac:dyDescent="0.3">
      <c r="A169" s="69">
        <v>13</v>
      </c>
      <c r="B169" s="70" t="s">
        <v>451</v>
      </c>
      <c r="C169" s="87">
        <v>-294.5</v>
      </c>
      <c r="D169" s="87">
        <v>-179.18</v>
      </c>
      <c r="E169" s="70"/>
    </row>
    <row r="170" spans="1:5" ht="16.05" customHeight="1" x14ac:dyDescent="0.3">
      <c r="A170" s="75">
        <v>14</v>
      </c>
      <c r="B170" s="76" t="s">
        <v>452</v>
      </c>
      <c r="C170" s="86">
        <v>121.72</v>
      </c>
      <c r="D170" s="86">
        <v>249.93</v>
      </c>
      <c r="E170" s="76"/>
    </row>
    <row r="171" spans="1:5" ht="16.05" customHeight="1" x14ac:dyDescent="0.3">
      <c r="A171" s="69">
        <v>15</v>
      </c>
      <c r="B171" s="70" t="s">
        <v>453</v>
      </c>
      <c r="C171" s="87">
        <v>32.26</v>
      </c>
      <c r="D171" s="87" t="s">
        <v>111</v>
      </c>
      <c r="E171" s="70"/>
    </row>
    <row r="172" spans="1:5" ht="16.05" customHeight="1" x14ac:dyDescent="0.3">
      <c r="A172" s="75">
        <v>16</v>
      </c>
      <c r="B172" s="76" t="s">
        <v>789</v>
      </c>
      <c r="C172" s="86">
        <v>-413.05</v>
      </c>
      <c r="D172" s="86">
        <v>-206.53</v>
      </c>
      <c r="E172" s="76"/>
    </row>
    <row r="173" spans="1:5" ht="16.05" customHeight="1" x14ac:dyDescent="0.3">
      <c r="A173" s="69">
        <v>17</v>
      </c>
      <c r="B173" s="70" t="s">
        <v>455</v>
      </c>
      <c r="C173" s="87" t="s">
        <v>111</v>
      </c>
      <c r="D173" s="87">
        <v>-413.05</v>
      </c>
      <c r="E173" s="70"/>
    </row>
    <row r="174" spans="1:5" ht="16.05" customHeight="1" x14ac:dyDescent="0.3">
      <c r="A174" s="75">
        <v>18</v>
      </c>
      <c r="B174" s="76" t="s">
        <v>790</v>
      </c>
      <c r="C174" s="86">
        <v>-1.79</v>
      </c>
      <c r="D174" s="86">
        <v>-2.02</v>
      </c>
      <c r="E174" s="76"/>
    </row>
    <row r="175" spans="1:5" ht="16.05" customHeight="1" x14ac:dyDescent="0.3">
      <c r="A175" s="69">
        <v>19</v>
      </c>
      <c r="B175" s="70" t="s">
        <v>456</v>
      </c>
      <c r="C175" s="87">
        <v>48195.74</v>
      </c>
      <c r="D175" s="87">
        <v>46379.3</v>
      </c>
      <c r="E175" s="70"/>
    </row>
    <row r="176" spans="1:5" ht="16.05" customHeight="1" x14ac:dyDescent="0.3">
      <c r="A176" s="75">
        <v>20</v>
      </c>
      <c r="B176" s="76" t="s">
        <v>457</v>
      </c>
      <c r="C176" s="86">
        <v>209.47</v>
      </c>
      <c r="D176" s="86">
        <v>152.47999999999999</v>
      </c>
      <c r="E176" s="76"/>
    </row>
    <row r="177" spans="1:5" ht="16.05" customHeight="1" x14ac:dyDescent="0.3">
      <c r="A177" s="69">
        <v>21</v>
      </c>
      <c r="B177" s="70" t="s">
        <v>458</v>
      </c>
      <c r="C177" s="87">
        <v>61.87</v>
      </c>
      <c r="D177" s="87">
        <v>73.900000000000006</v>
      </c>
      <c r="E177" s="70"/>
    </row>
    <row r="178" spans="1:5" ht="16.05" customHeight="1" x14ac:dyDescent="0.3">
      <c r="A178" s="75">
        <v>22</v>
      </c>
      <c r="B178" s="76" t="s">
        <v>459</v>
      </c>
      <c r="C178" s="86">
        <v>-8.85</v>
      </c>
      <c r="D178" s="86">
        <v>-16.91</v>
      </c>
      <c r="E178" s="76"/>
    </row>
    <row r="179" spans="1:5" ht="16.05" customHeight="1" x14ac:dyDescent="0.3">
      <c r="A179" s="69">
        <v>23</v>
      </c>
      <c r="B179" s="70" t="s">
        <v>460</v>
      </c>
      <c r="C179" s="87">
        <v>262.49</v>
      </c>
      <c r="D179" s="87">
        <v>209.47</v>
      </c>
      <c r="E179" s="70"/>
    </row>
    <row r="180" spans="1:5" ht="16.05" customHeight="1" x14ac:dyDescent="0.3">
      <c r="A180" s="75">
        <v>24</v>
      </c>
      <c r="B180" s="76" t="s">
        <v>791</v>
      </c>
      <c r="C180" s="86">
        <v>396.68</v>
      </c>
      <c r="D180" s="86">
        <v>367.03</v>
      </c>
      <c r="E180" s="76"/>
    </row>
    <row r="181" spans="1:5" ht="16.05" customHeight="1" x14ac:dyDescent="0.3">
      <c r="A181" s="69">
        <v>25</v>
      </c>
      <c r="B181" s="70" t="s">
        <v>458</v>
      </c>
      <c r="C181" s="87">
        <v>54.84</v>
      </c>
      <c r="D181" s="87">
        <v>29.65</v>
      </c>
      <c r="E181" s="70"/>
    </row>
    <row r="182" spans="1:5" ht="16.05" customHeight="1" x14ac:dyDescent="0.3">
      <c r="A182" s="75">
        <v>26</v>
      </c>
      <c r="B182" s="76" t="s">
        <v>792</v>
      </c>
      <c r="C182" s="86">
        <v>451.52</v>
      </c>
      <c r="D182" s="86">
        <v>396.68</v>
      </c>
      <c r="E182" s="76"/>
    </row>
    <row r="183" spans="1:5" ht="16.95" customHeight="1" x14ac:dyDescent="0.3">
      <c r="A183" s="78"/>
      <c r="B183" s="79" t="s">
        <v>461</v>
      </c>
      <c r="C183" s="80" t="s">
        <v>793</v>
      </c>
      <c r="D183" s="80" t="s">
        <v>794</v>
      </c>
      <c r="E183" s="79"/>
    </row>
    <row r="184" spans="1:5" ht="7.95" customHeight="1" x14ac:dyDescent="0.3"/>
    <row r="185" spans="1:5" ht="19.95" customHeight="1" x14ac:dyDescent="0.3">
      <c r="A185" s="158" t="s">
        <v>464</v>
      </c>
      <c r="B185" s="149"/>
      <c r="C185" s="149"/>
      <c r="D185" s="149"/>
      <c r="E185" s="149"/>
    </row>
    <row r="186" spans="1:5" ht="30" customHeight="1" x14ac:dyDescent="0.3">
      <c r="A186" s="74" t="s">
        <v>97</v>
      </c>
      <c r="B186" s="74" t="s">
        <v>2</v>
      </c>
      <c r="C186" s="74" t="s">
        <v>3</v>
      </c>
      <c r="D186" s="74" t="s">
        <v>4</v>
      </c>
    </row>
    <row r="187" spans="1:5" ht="16.05" customHeight="1" x14ac:dyDescent="0.3">
      <c r="A187" s="159" t="s">
        <v>465</v>
      </c>
      <c r="B187" s="149"/>
      <c r="C187" s="149"/>
      <c r="D187" s="149"/>
      <c r="E187" s="149"/>
    </row>
    <row r="188" spans="1:5" ht="16.05" customHeight="1" x14ac:dyDescent="0.3">
      <c r="A188" s="75">
        <v>1</v>
      </c>
      <c r="B188" s="76" t="s">
        <v>466</v>
      </c>
      <c r="C188" s="86"/>
      <c r="D188" s="77"/>
      <c r="E188" s="76"/>
    </row>
    <row r="189" spans="1:5" ht="16.05" customHeight="1" x14ac:dyDescent="0.3">
      <c r="A189" s="69">
        <v>2</v>
      </c>
      <c r="B189" s="70" t="s">
        <v>467</v>
      </c>
      <c r="C189" s="87" t="s">
        <v>111</v>
      </c>
      <c r="D189" s="71" t="s">
        <v>468</v>
      </c>
      <c r="E189" s="70"/>
    </row>
    <row r="190" spans="1:5" ht="16.05" customHeight="1" x14ac:dyDescent="0.3">
      <c r="A190" s="75">
        <v>3</v>
      </c>
      <c r="B190" s="76" t="s">
        <v>469</v>
      </c>
      <c r="C190" s="86" t="s">
        <v>111</v>
      </c>
      <c r="D190" s="77" t="s">
        <v>468</v>
      </c>
      <c r="E190" s="76"/>
    </row>
    <row r="191" spans="1:5" ht="16.05" customHeight="1" x14ac:dyDescent="0.3">
      <c r="A191" s="69">
        <v>4</v>
      </c>
      <c r="B191" s="70" t="s">
        <v>470</v>
      </c>
      <c r="C191" s="87"/>
      <c r="D191" s="71"/>
      <c r="E191" s="70"/>
    </row>
    <row r="192" spans="1:5" ht="16.05" customHeight="1" x14ac:dyDescent="0.3">
      <c r="A192" s="75">
        <v>5</v>
      </c>
      <c r="B192" s="76" t="s">
        <v>471</v>
      </c>
      <c r="C192" s="86">
        <v>3416.67</v>
      </c>
      <c r="D192" s="77" t="s">
        <v>472</v>
      </c>
      <c r="E192" s="76"/>
    </row>
    <row r="193" spans="1:5" ht="16.05" customHeight="1" x14ac:dyDescent="0.3">
      <c r="A193" s="69">
        <v>6</v>
      </c>
      <c r="B193" s="70" t="s">
        <v>473</v>
      </c>
      <c r="C193" s="87">
        <v>300</v>
      </c>
      <c r="D193" s="71" t="s">
        <v>111</v>
      </c>
      <c r="E193" s="70"/>
    </row>
    <row r="194" spans="1:5" ht="16.05" customHeight="1" x14ac:dyDescent="0.3">
      <c r="A194" s="75">
        <v>7</v>
      </c>
      <c r="B194" s="76" t="s">
        <v>474</v>
      </c>
      <c r="C194" s="86">
        <v>4700</v>
      </c>
      <c r="D194" s="77" t="s">
        <v>111</v>
      </c>
      <c r="E194" s="76"/>
    </row>
    <row r="195" spans="1:5" ht="16.05" customHeight="1" x14ac:dyDescent="0.3">
      <c r="A195" s="69">
        <v>8</v>
      </c>
      <c r="B195" s="70" t="s">
        <v>475</v>
      </c>
      <c r="C195" s="87">
        <v>200</v>
      </c>
      <c r="D195" s="71" t="s">
        <v>111</v>
      </c>
      <c r="E195" s="70"/>
    </row>
    <row r="196" spans="1:5" ht="16.05" customHeight="1" x14ac:dyDescent="0.3">
      <c r="A196" s="75">
        <v>9</v>
      </c>
      <c r="B196" s="76" t="s">
        <v>475</v>
      </c>
      <c r="C196" s="86">
        <v>250</v>
      </c>
      <c r="D196" s="77" t="s">
        <v>111</v>
      </c>
      <c r="E196" s="76"/>
    </row>
    <row r="197" spans="1:5" ht="16.05" customHeight="1" x14ac:dyDescent="0.3">
      <c r="A197" s="69">
        <v>10</v>
      </c>
      <c r="B197" s="70" t="s">
        <v>476</v>
      </c>
      <c r="C197" s="87">
        <v>200</v>
      </c>
      <c r="D197" s="71" t="s">
        <v>111</v>
      </c>
      <c r="E197" s="70"/>
    </row>
    <row r="198" spans="1:5" ht="16.05" customHeight="1" x14ac:dyDescent="0.3">
      <c r="A198" s="75">
        <v>11</v>
      </c>
      <c r="B198" s="76" t="s">
        <v>477</v>
      </c>
      <c r="C198" s="86">
        <v>200</v>
      </c>
      <c r="D198" s="77" t="s">
        <v>111</v>
      </c>
      <c r="E198" s="76"/>
    </row>
    <row r="199" spans="1:5" ht="16.05" customHeight="1" x14ac:dyDescent="0.3">
      <c r="A199" s="69">
        <v>12</v>
      </c>
      <c r="B199" s="70" t="s">
        <v>478</v>
      </c>
      <c r="C199" s="87">
        <v>200</v>
      </c>
      <c r="D199" s="71" t="s">
        <v>111</v>
      </c>
      <c r="E199" s="70"/>
    </row>
    <row r="200" spans="1:5" ht="16.05" customHeight="1" x14ac:dyDescent="0.3">
      <c r="A200" s="75">
        <v>13</v>
      </c>
      <c r="B200" s="76" t="s">
        <v>479</v>
      </c>
      <c r="C200" s="86">
        <v>200</v>
      </c>
      <c r="D200" s="77" t="s">
        <v>111</v>
      </c>
      <c r="E200" s="76"/>
    </row>
    <row r="201" spans="1:5" ht="16.05" customHeight="1" x14ac:dyDescent="0.3">
      <c r="A201" s="69">
        <v>14</v>
      </c>
      <c r="B201" s="70" t="s">
        <v>480</v>
      </c>
      <c r="C201" s="87">
        <v>9666.67</v>
      </c>
      <c r="D201" s="90">
        <v>9666.67</v>
      </c>
      <c r="E201" s="70"/>
    </row>
    <row r="202" spans="1:5" ht="16.05" customHeight="1" x14ac:dyDescent="0.3">
      <c r="A202" s="159" t="s">
        <v>481</v>
      </c>
      <c r="B202" s="149"/>
      <c r="C202" s="149"/>
      <c r="D202" s="149"/>
      <c r="E202" s="149"/>
    </row>
    <row r="203" spans="1:5" ht="16.05" customHeight="1" x14ac:dyDescent="0.3">
      <c r="A203" s="159" t="s">
        <v>482</v>
      </c>
      <c r="B203" s="149"/>
      <c r="C203" s="149"/>
      <c r="D203" s="149"/>
      <c r="E203" s="149"/>
    </row>
    <row r="204" spans="1:5" ht="16.05" customHeight="1" x14ac:dyDescent="0.3">
      <c r="A204" s="75">
        <v>15</v>
      </c>
      <c r="B204" s="76" t="s">
        <v>483</v>
      </c>
      <c r="C204" s="89">
        <v>228.27</v>
      </c>
      <c r="D204" s="89">
        <v>247.08</v>
      </c>
      <c r="E204" s="76"/>
    </row>
    <row r="205" spans="1:5" ht="16.05" customHeight="1" x14ac:dyDescent="0.3">
      <c r="A205" s="69">
        <v>16</v>
      </c>
      <c r="B205" s="70" t="s">
        <v>484</v>
      </c>
      <c r="C205" s="90">
        <v>1.85</v>
      </c>
      <c r="D205" s="90">
        <v>2.97</v>
      </c>
      <c r="E205" s="70"/>
    </row>
    <row r="206" spans="1:5" ht="16.05" customHeight="1" x14ac:dyDescent="0.3">
      <c r="A206" s="75">
        <v>17</v>
      </c>
      <c r="B206" s="76" t="s">
        <v>485</v>
      </c>
      <c r="C206" s="89">
        <v>204.16</v>
      </c>
      <c r="D206" s="89">
        <v>204.16</v>
      </c>
      <c r="E206" s="76"/>
    </row>
    <row r="207" spans="1:5" ht="16.05" customHeight="1" x14ac:dyDescent="0.3">
      <c r="A207" s="159" t="s">
        <v>486</v>
      </c>
      <c r="B207" s="149"/>
      <c r="C207" s="149"/>
      <c r="D207" s="149"/>
      <c r="E207" s="149"/>
    </row>
    <row r="208" spans="1:5" ht="16.95" customHeight="1" x14ac:dyDescent="0.3">
      <c r="A208" s="78"/>
      <c r="B208" s="79" t="s">
        <v>487</v>
      </c>
      <c r="C208" s="91">
        <v>10100.950000000001</v>
      </c>
      <c r="D208" s="91">
        <v>10134.879999999999</v>
      </c>
      <c r="E208" s="79"/>
    </row>
    <row r="209" spans="1:5" ht="7.95" customHeight="1" x14ac:dyDescent="0.3"/>
    <row r="210" spans="1:5" ht="19.95" customHeight="1" x14ac:dyDescent="0.3">
      <c r="A210" s="158" t="s">
        <v>488</v>
      </c>
      <c r="B210" s="149"/>
      <c r="C210" s="149"/>
      <c r="D210" s="149"/>
      <c r="E210" s="149"/>
    </row>
    <row r="211" spans="1:5" ht="30" customHeight="1" x14ac:dyDescent="0.3">
      <c r="A211" s="74" t="s">
        <v>97</v>
      </c>
      <c r="B211" s="74" t="s">
        <v>2</v>
      </c>
      <c r="C211" s="74" t="s">
        <v>3</v>
      </c>
      <c r="D211" s="74" t="s">
        <v>4</v>
      </c>
      <c r="E211" s="74"/>
    </row>
    <row r="212" spans="1:5" ht="16.05" customHeight="1" x14ac:dyDescent="0.3">
      <c r="A212" s="69">
        <v>1</v>
      </c>
      <c r="B212" s="70" t="s">
        <v>489</v>
      </c>
      <c r="C212" s="71" t="s">
        <v>111</v>
      </c>
      <c r="D212" s="71" t="s">
        <v>111</v>
      </c>
      <c r="E212" s="70"/>
    </row>
    <row r="213" spans="1:5" ht="16.05" customHeight="1" x14ac:dyDescent="0.3">
      <c r="A213" s="75">
        <v>2</v>
      </c>
      <c r="B213" s="76" t="s">
        <v>490</v>
      </c>
      <c r="C213" s="77" t="s">
        <v>795</v>
      </c>
      <c r="D213" s="77" t="s">
        <v>796</v>
      </c>
      <c r="E213" s="76"/>
    </row>
    <row r="214" spans="1:5" ht="16.95" customHeight="1" x14ac:dyDescent="0.3">
      <c r="A214" s="78"/>
      <c r="B214" s="79" t="s">
        <v>491</v>
      </c>
      <c r="C214" s="80" t="s">
        <v>795</v>
      </c>
      <c r="D214" s="80" t="s">
        <v>796</v>
      </c>
      <c r="E214" s="79"/>
    </row>
    <row r="215" spans="1:5" ht="7.95" customHeight="1" x14ac:dyDescent="0.3"/>
    <row r="216" spans="1:5" ht="19.95" customHeight="1" x14ac:dyDescent="0.3">
      <c r="A216" s="158" t="s">
        <v>492</v>
      </c>
      <c r="B216" s="149"/>
      <c r="C216" s="149"/>
      <c r="D216" s="149"/>
      <c r="E216" s="149"/>
    </row>
    <row r="217" spans="1:5" ht="30" customHeight="1" x14ac:dyDescent="0.3">
      <c r="A217" s="74" t="s">
        <v>97</v>
      </c>
      <c r="B217" s="74" t="s">
        <v>2</v>
      </c>
      <c r="C217" s="74" t="s">
        <v>3</v>
      </c>
      <c r="D217" s="74" t="s">
        <v>4</v>
      </c>
      <c r="E217" s="74"/>
    </row>
    <row r="218" spans="1:5" ht="16.05" customHeight="1" x14ac:dyDescent="0.3">
      <c r="A218" s="69">
        <v>1</v>
      </c>
      <c r="B218" s="70" t="s">
        <v>493</v>
      </c>
      <c r="C218" s="87" t="s">
        <v>494</v>
      </c>
      <c r="D218" s="87" t="s">
        <v>495</v>
      </c>
      <c r="E218" s="70"/>
    </row>
    <row r="219" spans="1:5" ht="16.05" customHeight="1" x14ac:dyDescent="0.3">
      <c r="A219" s="75">
        <v>2</v>
      </c>
      <c r="B219" s="76" t="s">
        <v>496</v>
      </c>
      <c r="C219" s="86" t="s">
        <v>497</v>
      </c>
      <c r="D219" s="86" t="s">
        <v>498</v>
      </c>
      <c r="E219" s="76"/>
    </row>
    <row r="220" spans="1:5" ht="16.05" customHeight="1" x14ac:dyDescent="0.3">
      <c r="A220" s="69">
        <v>3</v>
      </c>
      <c r="B220" s="70" t="s">
        <v>499</v>
      </c>
      <c r="C220" s="87" t="s">
        <v>797</v>
      </c>
      <c r="D220" s="87" t="s">
        <v>798</v>
      </c>
      <c r="E220" s="70"/>
    </row>
    <row r="221" spans="1:5" ht="16.95" customHeight="1" x14ac:dyDescent="0.3">
      <c r="A221" s="78"/>
      <c r="B221" s="79" t="s">
        <v>500</v>
      </c>
      <c r="C221" s="88" t="s">
        <v>799</v>
      </c>
      <c r="D221" s="88" t="s">
        <v>800</v>
      </c>
      <c r="E221" s="79"/>
    </row>
    <row r="222" spans="1:5" ht="7.95" customHeight="1" x14ac:dyDescent="0.3"/>
    <row r="223" spans="1:5" ht="19.95" customHeight="1" x14ac:dyDescent="0.3">
      <c r="A223" s="158" t="s">
        <v>501</v>
      </c>
      <c r="B223" s="149"/>
      <c r="C223" s="149"/>
      <c r="D223" s="149"/>
      <c r="E223" s="149"/>
    </row>
    <row r="224" spans="1:5" ht="30" customHeight="1" x14ac:dyDescent="0.3">
      <c r="A224" s="74" t="s">
        <v>97</v>
      </c>
      <c r="B224" s="74" t="s">
        <v>2</v>
      </c>
      <c r="C224" s="74" t="s">
        <v>3</v>
      </c>
      <c r="D224" s="74" t="s">
        <v>4</v>
      </c>
      <c r="E224" s="74"/>
    </row>
    <row r="225" spans="1:5" ht="16.05" customHeight="1" x14ac:dyDescent="0.3">
      <c r="A225" s="69">
        <v>1</v>
      </c>
      <c r="B225" s="70" t="s">
        <v>502</v>
      </c>
      <c r="C225" s="87" t="s">
        <v>801</v>
      </c>
      <c r="D225" s="87" t="s">
        <v>111</v>
      </c>
      <c r="E225" s="70"/>
    </row>
    <row r="226" spans="1:5" ht="16.05" customHeight="1" x14ac:dyDescent="0.3">
      <c r="A226" s="75">
        <v>2</v>
      </c>
      <c r="B226" s="76" t="s">
        <v>503</v>
      </c>
      <c r="C226" s="86" t="s">
        <v>802</v>
      </c>
      <c r="D226" s="86" t="s">
        <v>803</v>
      </c>
      <c r="E226" s="76"/>
    </row>
    <row r="227" spans="1:5" ht="16.05" customHeight="1" x14ac:dyDescent="0.3">
      <c r="A227" s="69">
        <v>3</v>
      </c>
      <c r="B227" s="70" t="s">
        <v>504</v>
      </c>
      <c r="C227" s="87" t="s">
        <v>505</v>
      </c>
      <c r="D227" s="87" t="s">
        <v>506</v>
      </c>
      <c r="E227" s="70"/>
    </row>
    <row r="228" spans="1:5" ht="16.05" customHeight="1" x14ac:dyDescent="0.3">
      <c r="A228" s="75">
        <v>4</v>
      </c>
      <c r="B228" s="76" t="s">
        <v>507</v>
      </c>
      <c r="C228" s="86" t="s">
        <v>508</v>
      </c>
      <c r="D228" s="86" t="s">
        <v>509</v>
      </c>
      <c r="E228" s="76"/>
    </row>
    <row r="229" spans="1:5" ht="16.05" customHeight="1" x14ac:dyDescent="0.3">
      <c r="A229" s="69">
        <v>5</v>
      </c>
      <c r="B229" s="70" t="s">
        <v>510</v>
      </c>
      <c r="C229" s="87" t="s">
        <v>804</v>
      </c>
      <c r="D229" s="87" t="s">
        <v>805</v>
      </c>
      <c r="E229" s="70"/>
    </row>
    <row r="230" spans="1:5" ht="16.05" customHeight="1" x14ac:dyDescent="0.3">
      <c r="A230" s="75">
        <v>6</v>
      </c>
      <c r="B230" s="76" t="s">
        <v>511</v>
      </c>
      <c r="C230" s="86" t="s">
        <v>806</v>
      </c>
      <c r="D230" s="86" t="s">
        <v>807</v>
      </c>
      <c r="E230" s="76"/>
    </row>
    <row r="231" spans="1:5" ht="16.95" customHeight="1" x14ac:dyDescent="0.3">
      <c r="A231" s="78"/>
      <c r="B231" s="79" t="s">
        <v>512</v>
      </c>
      <c r="C231" s="88" t="s">
        <v>808</v>
      </c>
      <c r="D231" s="88" t="s">
        <v>809</v>
      </c>
      <c r="E231" s="79"/>
    </row>
    <row r="232" spans="1:5" ht="7.95" customHeight="1" x14ac:dyDescent="0.3"/>
    <row r="233" spans="1:5" ht="19.95" customHeight="1" x14ac:dyDescent="0.3">
      <c r="A233" s="158" t="s">
        <v>513</v>
      </c>
      <c r="B233" s="149"/>
      <c r="C233" s="149"/>
      <c r="D233" s="149"/>
      <c r="E233" s="149"/>
    </row>
    <row r="234" spans="1:5" ht="30" customHeight="1" x14ac:dyDescent="0.3">
      <c r="A234" s="74" t="s">
        <v>97</v>
      </c>
      <c r="B234" s="74" t="s">
        <v>2</v>
      </c>
      <c r="C234" s="74" t="s">
        <v>3</v>
      </c>
      <c r="D234" s="74" t="s">
        <v>4</v>
      </c>
      <c r="E234" s="74"/>
    </row>
    <row r="235" spans="1:5" ht="16.05" customHeight="1" x14ac:dyDescent="0.3">
      <c r="A235" s="69">
        <v>1</v>
      </c>
      <c r="B235" s="70" t="s">
        <v>514</v>
      </c>
      <c r="C235" s="71" t="s">
        <v>515</v>
      </c>
      <c r="D235" s="90">
        <v>471.61</v>
      </c>
      <c r="E235" s="70"/>
    </row>
    <row r="236" spans="1:5" ht="16.05" customHeight="1" x14ac:dyDescent="0.3">
      <c r="A236" s="75">
        <v>2</v>
      </c>
      <c r="B236" s="76" t="s">
        <v>516</v>
      </c>
      <c r="C236" s="77" t="s">
        <v>111</v>
      </c>
      <c r="D236" s="89">
        <v>1388.88</v>
      </c>
      <c r="E236" s="76"/>
    </row>
    <row r="237" spans="1:5" ht="16.95" customHeight="1" x14ac:dyDescent="0.3">
      <c r="A237" s="78"/>
      <c r="B237" s="79" t="s">
        <v>517</v>
      </c>
      <c r="C237" s="91">
        <v>493.13</v>
      </c>
      <c r="D237" s="91">
        <v>1860.49</v>
      </c>
      <c r="E237" s="79"/>
    </row>
    <row r="238" spans="1:5" ht="7.95" customHeight="1" x14ac:dyDescent="0.3"/>
    <row r="239" spans="1:5" ht="19.95" customHeight="1" x14ac:dyDescent="0.3">
      <c r="A239" s="158" t="s">
        <v>518</v>
      </c>
      <c r="B239" s="149"/>
      <c r="C239" s="149"/>
      <c r="D239" s="149"/>
      <c r="E239" s="149"/>
    </row>
    <row r="240" spans="1:5" ht="30" customHeight="1" x14ac:dyDescent="0.3">
      <c r="A240" s="74" t="s">
        <v>97</v>
      </c>
      <c r="B240" s="74" t="s">
        <v>2</v>
      </c>
      <c r="C240" s="74" t="s">
        <v>3</v>
      </c>
      <c r="D240" s="74" t="s">
        <v>4</v>
      </c>
      <c r="E240" s="74"/>
    </row>
    <row r="241" spans="1:5" ht="16.05" customHeight="1" x14ac:dyDescent="0.3">
      <c r="A241" s="69">
        <v>1</v>
      </c>
      <c r="B241" s="70" t="s">
        <v>519</v>
      </c>
      <c r="C241" s="87">
        <v>6685.67</v>
      </c>
      <c r="D241" s="87">
        <v>3841.8</v>
      </c>
      <c r="E241" s="70"/>
    </row>
    <row r="242" spans="1:5" ht="16.05" customHeight="1" x14ac:dyDescent="0.3">
      <c r="A242" s="75">
        <v>2</v>
      </c>
      <c r="B242" s="76" t="s">
        <v>521</v>
      </c>
      <c r="C242" s="86">
        <v>724.5</v>
      </c>
      <c r="D242" s="86">
        <v>1090.96</v>
      </c>
      <c r="E242" s="76"/>
    </row>
    <row r="243" spans="1:5" ht="16.05" customHeight="1" x14ac:dyDescent="0.3">
      <c r="A243" s="69">
        <v>3</v>
      </c>
      <c r="B243" s="70" t="s">
        <v>522</v>
      </c>
      <c r="C243" s="87">
        <v>12300</v>
      </c>
      <c r="D243" s="87">
        <v>16100</v>
      </c>
      <c r="E243" s="70"/>
    </row>
    <row r="244" spans="1:5" ht="16.95" customHeight="1" x14ac:dyDescent="0.3">
      <c r="A244" s="78"/>
      <c r="B244" s="79" t="s">
        <v>525</v>
      </c>
      <c r="C244" s="88" t="s">
        <v>810</v>
      </c>
      <c r="D244" s="91">
        <v>21032.76</v>
      </c>
      <c r="E244" s="79"/>
    </row>
    <row r="245" spans="1:5" ht="7.95" customHeight="1" x14ac:dyDescent="0.3"/>
    <row r="246" spans="1:5" ht="19.95" customHeight="1" x14ac:dyDescent="0.3">
      <c r="A246" s="158" t="s">
        <v>526</v>
      </c>
      <c r="B246" s="149"/>
      <c r="C246" s="149"/>
      <c r="D246" s="149"/>
      <c r="E246" s="149"/>
    </row>
    <row r="247" spans="1:5" ht="30" customHeight="1" x14ac:dyDescent="0.3">
      <c r="A247" s="74" t="s">
        <v>97</v>
      </c>
      <c r="B247" s="74" t="s">
        <v>2</v>
      </c>
      <c r="C247" s="74" t="s">
        <v>3</v>
      </c>
      <c r="D247" s="74" t="s">
        <v>4</v>
      </c>
      <c r="E247" s="74"/>
    </row>
    <row r="248" spans="1:5" ht="16.05" customHeight="1" x14ac:dyDescent="0.3">
      <c r="A248" s="69">
        <v>1</v>
      </c>
      <c r="B248" s="70" t="s">
        <v>489</v>
      </c>
      <c r="C248" s="90">
        <v>637.65</v>
      </c>
      <c r="D248" s="90">
        <v>435.82</v>
      </c>
      <c r="E248" s="70"/>
    </row>
    <row r="249" spans="1:5" ht="16.05" customHeight="1" x14ac:dyDescent="0.3">
      <c r="A249" s="75">
        <v>2</v>
      </c>
      <c r="B249" s="76" t="s">
        <v>527</v>
      </c>
      <c r="C249" s="89">
        <v>480.35</v>
      </c>
      <c r="D249" s="89">
        <v>538.76</v>
      </c>
      <c r="E249" s="76"/>
    </row>
    <row r="250" spans="1:5" ht="16.05" customHeight="1" x14ac:dyDescent="0.3">
      <c r="A250" s="69">
        <v>3</v>
      </c>
      <c r="B250" s="70" t="s">
        <v>490</v>
      </c>
      <c r="C250" s="90">
        <v>9385.99</v>
      </c>
      <c r="D250" s="90">
        <v>14357.81</v>
      </c>
      <c r="E250" s="70"/>
    </row>
    <row r="251" spans="1:5" ht="16.95" customHeight="1" x14ac:dyDescent="0.3">
      <c r="A251" s="78"/>
      <c r="B251" s="79" t="s">
        <v>528</v>
      </c>
      <c r="C251" s="91">
        <v>10503.99</v>
      </c>
      <c r="D251" s="91">
        <v>15332.39</v>
      </c>
      <c r="E251" s="79"/>
    </row>
    <row r="252" spans="1:5" ht="7.95" customHeight="1" x14ac:dyDescent="0.3"/>
    <row r="253" spans="1:5" ht="19.95" customHeight="1" x14ac:dyDescent="0.3">
      <c r="A253" s="158" t="s">
        <v>529</v>
      </c>
      <c r="B253" s="149"/>
      <c r="C253" s="149"/>
      <c r="D253" s="149"/>
      <c r="E253" s="149"/>
    </row>
    <row r="254" spans="1:5" ht="30" customHeight="1" x14ac:dyDescent="0.3">
      <c r="A254" s="74" t="s">
        <v>97</v>
      </c>
      <c r="B254" s="74" t="s">
        <v>2</v>
      </c>
      <c r="C254" s="74" t="s">
        <v>3</v>
      </c>
      <c r="D254" s="74" t="s">
        <v>4</v>
      </c>
      <c r="E254" s="74"/>
    </row>
    <row r="255" spans="1:5" ht="16.05" customHeight="1" x14ac:dyDescent="0.3">
      <c r="A255" s="69">
        <v>1</v>
      </c>
      <c r="B255" s="70" t="s">
        <v>496</v>
      </c>
      <c r="C255" s="90">
        <v>24.82</v>
      </c>
      <c r="D255" s="90">
        <v>23.07</v>
      </c>
      <c r="E255" s="70"/>
    </row>
    <row r="256" spans="1:5" ht="16.05" customHeight="1" x14ac:dyDescent="0.3">
      <c r="A256" s="75">
        <v>2</v>
      </c>
      <c r="B256" s="76" t="s">
        <v>530</v>
      </c>
      <c r="C256" s="89">
        <v>376</v>
      </c>
      <c r="D256" s="89">
        <v>341.74</v>
      </c>
      <c r="E256" s="76"/>
    </row>
    <row r="257" spans="1:5" ht="16.05" customHeight="1" x14ac:dyDescent="0.3">
      <c r="A257" s="69">
        <v>3</v>
      </c>
      <c r="B257" s="70" t="s">
        <v>531</v>
      </c>
      <c r="C257" s="90">
        <v>10.17</v>
      </c>
      <c r="D257" s="90">
        <v>9.8699999999999992</v>
      </c>
      <c r="E257" s="70"/>
    </row>
    <row r="258" spans="1:5" ht="16.05" customHeight="1" x14ac:dyDescent="0.3">
      <c r="A258" s="75">
        <v>4</v>
      </c>
      <c r="B258" s="76" t="s">
        <v>532</v>
      </c>
      <c r="C258" s="89">
        <v>1.01</v>
      </c>
      <c r="D258" s="89">
        <v>1.38</v>
      </c>
      <c r="E258" s="76"/>
    </row>
    <row r="259" spans="1:5" ht="16.05" customHeight="1" x14ac:dyDescent="0.3">
      <c r="A259" s="69">
        <v>5</v>
      </c>
      <c r="B259" s="70" t="s">
        <v>533</v>
      </c>
      <c r="C259" s="90">
        <v>265.92</v>
      </c>
      <c r="D259" s="90">
        <v>255.87</v>
      </c>
      <c r="E259" s="70"/>
    </row>
    <row r="260" spans="1:5" ht="16.05" customHeight="1" x14ac:dyDescent="0.3">
      <c r="A260" s="75">
        <v>6</v>
      </c>
      <c r="B260" s="76" t="s">
        <v>534</v>
      </c>
      <c r="C260" s="89">
        <v>37.47</v>
      </c>
      <c r="D260" s="89">
        <v>139</v>
      </c>
      <c r="E260" s="76"/>
    </row>
    <row r="261" spans="1:5" ht="16.05" customHeight="1" x14ac:dyDescent="0.3">
      <c r="A261" s="69">
        <v>7</v>
      </c>
      <c r="B261" s="70" t="s">
        <v>535</v>
      </c>
      <c r="C261" s="90">
        <v>2093.1799999999998</v>
      </c>
      <c r="D261" s="90">
        <v>1897.6</v>
      </c>
      <c r="E261" s="70"/>
    </row>
    <row r="262" spans="1:5" ht="16.05" customHeight="1" x14ac:dyDescent="0.3">
      <c r="A262" s="75">
        <v>8</v>
      </c>
      <c r="B262" s="76" t="s">
        <v>332</v>
      </c>
      <c r="C262" s="89">
        <v>24.72</v>
      </c>
      <c r="D262" s="89">
        <v>34.33</v>
      </c>
      <c r="E262" s="76"/>
    </row>
    <row r="263" spans="1:5" ht="16.05" customHeight="1" x14ac:dyDescent="0.3">
      <c r="A263" s="69">
        <v>9</v>
      </c>
      <c r="B263" s="70" t="s">
        <v>335</v>
      </c>
      <c r="C263" s="90">
        <v>51.96</v>
      </c>
      <c r="D263" s="90">
        <v>78.569999999999993</v>
      </c>
      <c r="E263" s="70"/>
    </row>
    <row r="264" spans="1:5" ht="16.05" customHeight="1" x14ac:dyDescent="0.3">
      <c r="A264" s="75">
        <v>10</v>
      </c>
      <c r="B264" s="76" t="s">
        <v>536</v>
      </c>
      <c r="C264" s="89">
        <v>52.81</v>
      </c>
      <c r="D264" s="77" t="s">
        <v>111</v>
      </c>
      <c r="E264" s="76"/>
    </row>
    <row r="265" spans="1:5" ht="16.05" customHeight="1" x14ac:dyDescent="0.3">
      <c r="A265" s="69">
        <v>11</v>
      </c>
      <c r="B265" s="70" t="s">
        <v>811</v>
      </c>
      <c r="C265" s="90">
        <v>2392.2399999999998</v>
      </c>
      <c r="D265" s="90">
        <v>2066.52</v>
      </c>
      <c r="E265" s="70"/>
    </row>
    <row r="266" spans="1:5" ht="16.05" customHeight="1" x14ac:dyDescent="0.3">
      <c r="A266" s="75">
        <v>12</v>
      </c>
      <c r="B266" s="76" t="s">
        <v>538</v>
      </c>
      <c r="C266" s="89">
        <v>4340.8500000000004</v>
      </c>
      <c r="D266" s="89">
        <v>5608.03</v>
      </c>
      <c r="E266" s="76"/>
    </row>
    <row r="267" spans="1:5" ht="16.95" customHeight="1" x14ac:dyDescent="0.3">
      <c r="A267" s="78"/>
      <c r="B267" s="79" t="s">
        <v>539</v>
      </c>
      <c r="C267" s="80" t="s">
        <v>812</v>
      </c>
      <c r="D267" s="91">
        <v>10543.57</v>
      </c>
      <c r="E267" s="79"/>
    </row>
    <row r="268" spans="1:5" ht="7.95" customHeight="1" x14ac:dyDescent="0.3"/>
    <row r="269" spans="1:5" ht="19.95" customHeight="1" x14ac:dyDescent="0.3">
      <c r="A269" s="158" t="s">
        <v>540</v>
      </c>
      <c r="B269" s="149"/>
      <c r="C269" s="149"/>
      <c r="D269" s="149"/>
      <c r="E269" s="149"/>
    </row>
    <row r="270" spans="1:5" ht="30" customHeight="1" x14ac:dyDescent="0.3">
      <c r="A270" s="74" t="s">
        <v>97</v>
      </c>
      <c r="B270" s="74" t="s">
        <v>2</v>
      </c>
      <c r="C270" s="74" t="s">
        <v>3</v>
      </c>
      <c r="D270" s="74" t="s">
        <v>4</v>
      </c>
      <c r="E270" s="74"/>
    </row>
    <row r="271" spans="1:5" ht="16.05" customHeight="1" x14ac:dyDescent="0.3">
      <c r="A271" s="69">
        <v>1</v>
      </c>
      <c r="B271" s="70" t="s">
        <v>541</v>
      </c>
      <c r="C271" s="90">
        <v>1526.47</v>
      </c>
      <c r="D271" s="87">
        <v>1518</v>
      </c>
      <c r="E271" s="70"/>
    </row>
    <row r="272" spans="1:5" ht="16.05" customHeight="1" x14ac:dyDescent="0.3">
      <c r="A272" s="75">
        <v>2</v>
      </c>
      <c r="B272" s="76" t="s">
        <v>542</v>
      </c>
      <c r="C272" s="89">
        <v>164.42</v>
      </c>
      <c r="D272" s="86">
        <v>152.36000000000001</v>
      </c>
      <c r="E272" s="76"/>
    </row>
    <row r="273" spans="1:5" ht="16.05" customHeight="1" x14ac:dyDescent="0.3">
      <c r="A273" s="69">
        <v>3</v>
      </c>
      <c r="B273" s="70" t="s">
        <v>543</v>
      </c>
      <c r="C273" s="90">
        <v>21.53</v>
      </c>
      <c r="D273" s="87">
        <v>19.98</v>
      </c>
      <c r="E273" s="70"/>
    </row>
    <row r="274" spans="1:5" ht="16.05" customHeight="1" x14ac:dyDescent="0.3">
      <c r="A274" s="75">
        <v>4</v>
      </c>
      <c r="B274" s="76" t="s">
        <v>544</v>
      </c>
      <c r="C274" s="89">
        <v>1372.11</v>
      </c>
      <c r="D274" s="86">
        <v>1367.79</v>
      </c>
      <c r="E274" s="76"/>
    </row>
    <row r="275" spans="1:5" ht="16.05" customHeight="1" x14ac:dyDescent="0.3">
      <c r="A275" s="69">
        <v>5</v>
      </c>
      <c r="B275" s="70" t="s">
        <v>545</v>
      </c>
      <c r="C275" s="90">
        <v>120.18</v>
      </c>
      <c r="D275" s="87">
        <v>99.84</v>
      </c>
      <c r="E275" s="70"/>
    </row>
    <row r="276" spans="1:5" ht="16.05" customHeight="1" x14ac:dyDescent="0.3">
      <c r="A276" s="75">
        <v>6</v>
      </c>
      <c r="B276" s="76" t="s">
        <v>546</v>
      </c>
      <c r="C276" s="89">
        <v>84.82</v>
      </c>
      <c r="D276" s="86">
        <v>85.65</v>
      </c>
      <c r="E276" s="76"/>
    </row>
    <row r="277" spans="1:5" ht="16.05" customHeight="1" x14ac:dyDescent="0.3">
      <c r="A277" s="69">
        <v>7</v>
      </c>
      <c r="B277" s="70" t="s">
        <v>547</v>
      </c>
      <c r="C277" s="90">
        <v>10.28</v>
      </c>
      <c r="D277" s="87">
        <v>12.86</v>
      </c>
      <c r="E277" s="70"/>
    </row>
    <row r="278" spans="1:5" ht="16.05" customHeight="1" x14ac:dyDescent="0.3">
      <c r="A278" s="75">
        <v>8</v>
      </c>
      <c r="B278" s="76" t="s">
        <v>548</v>
      </c>
      <c r="C278" s="89">
        <v>42.85</v>
      </c>
      <c r="D278" s="86">
        <v>40.28</v>
      </c>
      <c r="E278" s="76"/>
    </row>
    <row r="279" spans="1:5" ht="16.05" customHeight="1" x14ac:dyDescent="0.3">
      <c r="A279" s="69">
        <v>9</v>
      </c>
      <c r="B279" s="70" t="s">
        <v>516</v>
      </c>
      <c r="C279" s="90">
        <v>853.69</v>
      </c>
      <c r="D279" s="87">
        <v>1339.51</v>
      </c>
      <c r="E279" s="70"/>
    </row>
    <row r="280" spans="1:5" ht="16.95" customHeight="1" x14ac:dyDescent="0.3">
      <c r="A280" s="78"/>
      <c r="B280" s="79" t="s">
        <v>550</v>
      </c>
      <c r="C280" s="91">
        <v>4196.3500000000004</v>
      </c>
      <c r="D280" s="91">
        <v>4636.2700000000004</v>
      </c>
      <c r="E280" s="79"/>
    </row>
    <row r="281" spans="1:5" ht="7.95" customHeight="1" x14ac:dyDescent="0.3"/>
    <row r="282" spans="1:5" ht="19.95" customHeight="1" x14ac:dyDescent="0.3">
      <c r="A282" s="158" t="s">
        <v>551</v>
      </c>
      <c r="B282" s="149"/>
      <c r="C282" s="149"/>
      <c r="D282" s="149"/>
      <c r="E282" s="149"/>
    </row>
    <row r="283" spans="1:5" ht="30" customHeight="1" x14ac:dyDescent="0.3">
      <c r="A283" s="74" t="s">
        <v>97</v>
      </c>
      <c r="B283" s="74" t="s">
        <v>2</v>
      </c>
      <c r="C283" s="74" t="s">
        <v>3</v>
      </c>
      <c r="D283" s="74" t="s">
        <v>4</v>
      </c>
      <c r="E283" s="74"/>
    </row>
    <row r="284" spans="1:5" ht="16.05" customHeight="1" x14ac:dyDescent="0.3">
      <c r="A284" s="69">
        <v>1</v>
      </c>
      <c r="B284" s="70" t="s">
        <v>503</v>
      </c>
      <c r="C284" s="90">
        <v>398.63</v>
      </c>
      <c r="D284" s="90">
        <v>381.27</v>
      </c>
      <c r="E284" s="70"/>
    </row>
    <row r="285" spans="1:5" ht="16.05" customHeight="1" x14ac:dyDescent="0.3">
      <c r="A285" s="75">
        <v>2</v>
      </c>
      <c r="B285" s="76" t="s">
        <v>504</v>
      </c>
      <c r="C285" s="89">
        <v>321.20999999999998</v>
      </c>
      <c r="D285" s="89">
        <v>288.43</v>
      </c>
      <c r="E285" s="76"/>
    </row>
    <row r="286" spans="1:5" ht="16.05" customHeight="1" x14ac:dyDescent="0.3">
      <c r="A286" s="69">
        <v>3</v>
      </c>
      <c r="B286" s="70" t="s">
        <v>507</v>
      </c>
      <c r="C286" s="90">
        <v>1.98</v>
      </c>
      <c r="D286" s="90">
        <v>1.83</v>
      </c>
      <c r="E286" s="70"/>
    </row>
    <row r="287" spans="1:5" ht="16.05" customHeight="1" x14ac:dyDescent="0.3">
      <c r="A287" s="75">
        <v>4</v>
      </c>
      <c r="B287" s="76" t="s">
        <v>813</v>
      </c>
      <c r="C287" s="89">
        <v>2.8</v>
      </c>
      <c r="D287" s="77" t="s">
        <v>111</v>
      </c>
      <c r="E287" s="76"/>
    </row>
    <row r="288" spans="1:5" ht="16.05" customHeight="1" x14ac:dyDescent="0.3">
      <c r="A288" s="69">
        <v>5</v>
      </c>
      <c r="B288" s="70" t="s">
        <v>552</v>
      </c>
      <c r="C288" s="90">
        <v>44.7</v>
      </c>
      <c r="D288" s="90">
        <v>44.7</v>
      </c>
      <c r="E288" s="70"/>
    </row>
    <row r="289" spans="1:5" ht="16.05" customHeight="1" x14ac:dyDescent="0.3">
      <c r="A289" s="75">
        <v>6</v>
      </c>
      <c r="B289" s="76" t="s">
        <v>553</v>
      </c>
      <c r="C289" s="89">
        <v>38.85</v>
      </c>
      <c r="D289" s="89">
        <v>38.85</v>
      </c>
      <c r="E289" s="76"/>
    </row>
    <row r="290" spans="1:5" ht="16.05" customHeight="1" x14ac:dyDescent="0.3">
      <c r="A290" s="69">
        <v>7</v>
      </c>
      <c r="B290" s="70" t="s">
        <v>554</v>
      </c>
      <c r="C290" s="90">
        <v>235.66</v>
      </c>
      <c r="D290" s="90">
        <v>245.15</v>
      </c>
      <c r="E290" s="70"/>
    </row>
    <row r="291" spans="1:5" ht="16.05" customHeight="1" x14ac:dyDescent="0.3">
      <c r="A291" s="75">
        <v>8</v>
      </c>
      <c r="B291" s="76" t="s">
        <v>511</v>
      </c>
      <c r="C291" s="89">
        <v>347.22</v>
      </c>
      <c r="D291" s="89">
        <v>294.88</v>
      </c>
      <c r="E291" s="76"/>
    </row>
    <row r="292" spans="1:5" ht="16.95" customHeight="1" x14ac:dyDescent="0.3">
      <c r="A292" s="78"/>
      <c r="B292" s="79" t="s">
        <v>556</v>
      </c>
      <c r="C292" s="91">
        <v>1391.05</v>
      </c>
      <c r="D292" s="91">
        <v>1295.1099999999999</v>
      </c>
      <c r="E292" s="79"/>
    </row>
    <row r="293" spans="1:5" ht="7.95" customHeight="1" x14ac:dyDescent="0.3"/>
    <row r="294" spans="1:5" ht="19.95" customHeight="1" x14ac:dyDescent="0.3">
      <c r="A294" s="158" t="s">
        <v>557</v>
      </c>
      <c r="B294" s="149"/>
      <c r="C294" s="149"/>
      <c r="D294" s="149"/>
      <c r="E294" s="149"/>
    </row>
    <row r="295" spans="1:5" ht="30" customHeight="1" x14ac:dyDescent="0.3">
      <c r="A295" s="74" t="s">
        <v>97</v>
      </c>
      <c r="B295" s="74" t="s">
        <v>2</v>
      </c>
      <c r="C295" s="74" t="s">
        <v>3</v>
      </c>
      <c r="D295" s="74" t="s">
        <v>4</v>
      </c>
      <c r="E295" s="74"/>
    </row>
    <row r="296" spans="1:5" ht="16.05" customHeight="1" x14ac:dyDescent="0.3">
      <c r="A296" s="69">
        <v>1</v>
      </c>
      <c r="B296" s="70" t="s">
        <v>558</v>
      </c>
      <c r="C296" s="90">
        <v>209.19</v>
      </c>
      <c r="D296" s="90">
        <v>3.13</v>
      </c>
      <c r="E296" s="70"/>
    </row>
    <row r="297" spans="1:5" ht="16.05" customHeight="1" x14ac:dyDescent="0.3">
      <c r="A297" s="75">
        <v>2</v>
      </c>
      <c r="B297" s="76" t="s">
        <v>559</v>
      </c>
      <c r="C297" s="89">
        <v>720.43</v>
      </c>
      <c r="D297" s="89">
        <v>615.53</v>
      </c>
      <c r="E297" s="76"/>
    </row>
    <row r="298" spans="1:5" ht="16.05" customHeight="1" x14ac:dyDescent="0.3">
      <c r="A298" s="69">
        <v>3</v>
      </c>
      <c r="B298" s="70" t="s">
        <v>560</v>
      </c>
      <c r="C298" s="90">
        <v>-572.79999999999995</v>
      </c>
      <c r="D298" s="90">
        <v>-409.47</v>
      </c>
      <c r="E298" s="70"/>
    </row>
    <row r="299" spans="1:5" ht="16.05" customHeight="1" x14ac:dyDescent="0.3">
      <c r="A299" s="75">
        <v>4</v>
      </c>
      <c r="B299" s="76" t="s">
        <v>561</v>
      </c>
      <c r="C299" s="89">
        <v>-208.84</v>
      </c>
      <c r="D299" s="77" t="s">
        <v>111</v>
      </c>
      <c r="E299" s="76"/>
    </row>
    <row r="300" spans="1:5" ht="16.95" customHeight="1" x14ac:dyDescent="0.3">
      <c r="A300" s="78"/>
      <c r="B300" s="79" t="s">
        <v>562</v>
      </c>
      <c r="C300" s="91">
        <v>147.97999999999999</v>
      </c>
      <c r="D300" s="91">
        <v>209.19</v>
      </c>
      <c r="E300" s="79"/>
    </row>
    <row r="301" spans="1:5" ht="7.95" customHeight="1" x14ac:dyDescent="0.3"/>
    <row r="302" spans="1:5" ht="19.95" customHeight="1" x14ac:dyDescent="0.3">
      <c r="A302" s="158" t="s">
        <v>563</v>
      </c>
      <c r="B302" s="149"/>
      <c r="C302" s="149"/>
      <c r="D302" s="149"/>
      <c r="E302" s="149"/>
    </row>
    <row r="303" spans="1:5" ht="30" customHeight="1" x14ac:dyDescent="0.3">
      <c r="A303" s="74" t="s">
        <v>97</v>
      </c>
      <c r="B303" s="74" t="s">
        <v>2</v>
      </c>
      <c r="C303" s="74" t="s">
        <v>3</v>
      </c>
      <c r="D303" s="74" t="s">
        <v>4</v>
      </c>
      <c r="E303" s="74"/>
    </row>
    <row r="304" spans="1:5" ht="16.05" customHeight="1" x14ac:dyDescent="0.3">
      <c r="A304" s="69">
        <v>1</v>
      </c>
      <c r="B304" s="70" t="s">
        <v>564</v>
      </c>
      <c r="C304" s="87">
        <v>101224.43</v>
      </c>
      <c r="D304" s="87">
        <v>104033.9</v>
      </c>
      <c r="E304" s="70"/>
    </row>
    <row r="305" spans="1:5" ht="16.05" customHeight="1" x14ac:dyDescent="0.3">
      <c r="A305" s="75">
        <v>2</v>
      </c>
      <c r="B305" s="76" t="s">
        <v>565</v>
      </c>
      <c r="C305" s="86">
        <v>492.03</v>
      </c>
      <c r="D305" s="86">
        <v>513.91</v>
      </c>
      <c r="E305" s="76"/>
    </row>
    <row r="306" spans="1:5" ht="16.05" customHeight="1" x14ac:dyDescent="0.3">
      <c r="A306" s="81">
        <v>3</v>
      </c>
      <c r="B306" s="82" t="s">
        <v>566</v>
      </c>
      <c r="C306" s="135">
        <v>101716.46</v>
      </c>
      <c r="D306" s="135">
        <v>104547.81</v>
      </c>
      <c r="E306" s="84"/>
    </row>
    <row r="307" spans="1:5" ht="16.05" customHeight="1" x14ac:dyDescent="0.3">
      <c r="A307" s="75">
        <v>4</v>
      </c>
      <c r="B307" s="76" t="s">
        <v>567</v>
      </c>
      <c r="C307" s="86">
        <v>23.8</v>
      </c>
      <c r="D307" s="86">
        <v>19.93</v>
      </c>
      <c r="E307" s="76"/>
    </row>
    <row r="308" spans="1:5" ht="16.05" customHeight="1" x14ac:dyDescent="0.3">
      <c r="A308" s="69">
        <v>5</v>
      </c>
      <c r="B308" s="70" t="s">
        <v>568</v>
      </c>
      <c r="C308" s="87">
        <v>8</v>
      </c>
      <c r="D308" s="87">
        <v>7.97</v>
      </c>
      <c r="E308" s="70"/>
    </row>
    <row r="309" spans="1:5" ht="16.05" customHeight="1" x14ac:dyDescent="0.3">
      <c r="A309" s="75">
        <v>6</v>
      </c>
      <c r="B309" s="76" t="s">
        <v>569</v>
      </c>
      <c r="C309" s="86">
        <v>359.51</v>
      </c>
      <c r="D309" s="86">
        <v>518.69000000000005</v>
      </c>
      <c r="E309" s="76"/>
    </row>
    <row r="310" spans="1:5" ht="16.05" customHeight="1" x14ac:dyDescent="0.3">
      <c r="A310" s="69">
        <v>7</v>
      </c>
      <c r="B310" s="70" t="s">
        <v>570</v>
      </c>
      <c r="C310" s="87">
        <v>98.01</v>
      </c>
      <c r="D310" s="87">
        <v>101.73</v>
      </c>
      <c r="E310" s="70"/>
    </row>
    <row r="311" spans="1:5" ht="16.05" customHeight="1" x14ac:dyDescent="0.3">
      <c r="A311" s="75">
        <v>8</v>
      </c>
      <c r="B311" s="76" t="s">
        <v>571</v>
      </c>
      <c r="C311" s="86">
        <v>273.27999999999997</v>
      </c>
      <c r="D311" s="86">
        <v>182.2</v>
      </c>
      <c r="E311" s="76"/>
    </row>
    <row r="312" spans="1:5" ht="16.05" customHeight="1" x14ac:dyDescent="0.3">
      <c r="A312" s="81">
        <v>9</v>
      </c>
      <c r="B312" s="82" t="s">
        <v>572</v>
      </c>
      <c r="C312" s="135">
        <v>738.8</v>
      </c>
      <c r="D312" s="135">
        <v>810.59</v>
      </c>
      <c r="E312" s="84"/>
    </row>
    <row r="313" spans="1:5" ht="16.95" customHeight="1" x14ac:dyDescent="0.3">
      <c r="A313" s="78"/>
      <c r="B313" s="79" t="s">
        <v>573</v>
      </c>
      <c r="C313" s="91">
        <v>102479.06</v>
      </c>
      <c r="D313" s="91">
        <v>105378.33</v>
      </c>
      <c r="E313" s="79"/>
    </row>
    <row r="314" spans="1:5" ht="7.95" customHeight="1" x14ac:dyDescent="0.3"/>
    <row r="315" spans="1:5" ht="19.95" customHeight="1" x14ac:dyDescent="0.3">
      <c r="A315" s="158" t="s">
        <v>576</v>
      </c>
      <c r="B315" s="149"/>
      <c r="C315" s="149"/>
      <c r="D315" s="149"/>
      <c r="E315" s="149"/>
    </row>
    <row r="316" spans="1:5" ht="30" customHeight="1" x14ac:dyDescent="0.3">
      <c r="A316" s="74" t="s">
        <v>97</v>
      </c>
      <c r="B316" s="74" t="s">
        <v>2</v>
      </c>
      <c r="C316" s="74" t="s">
        <v>3</v>
      </c>
      <c r="D316" s="74" t="s">
        <v>4</v>
      </c>
      <c r="E316" s="74"/>
    </row>
    <row r="317" spans="1:5" ht="16.05" customHeight="1" x14ac:dyDescent="0.3">
      <c r="A317" s="69">
        <v>1</v>
      </c>
      <c r="B317" s="70" t="s">
        <v>577</v>
      </c>
      <c r="C317" s="90">
        <v>163.02000000000001</v>
      </c>
      <c r="D317" s="90">
        <v>161.87</v>
      </c>
      <c r="E317" s="70"/>
    </row>
    <row r="318" spans="1:5" ht="16.05" customHeight="1" x14ac:dyDescent="0.3">
      <c r="A318" s="75">
        <v>2</v>
      </c>
      <c r="B318" s="76" t="s">
        <v>578</v>
      </c>
      <c r="C318" s="89">
        <v>3.17</v>
      </c>
      <c r="D318" s="89">
        <v>3.64</v>
      </c>
      <c r="E318" s="76"/>
    </row>
    <row r="319" spans="1:5" ht="16.05" customHeight="1" x14ac:dyDescent="0.3">
      <c r="A319" s="69">
        <v>3</v>
      </c>
      <c r="B319" s="70" t="s">
        <v>579</v>
      </c>
      <c r="C319" s="90">
        <v>29.87</v>
      </c>
      <c r="D319" s="90">
        <v>31.73</v>
      </c>
      <c r="E319" s="70"/>
    </row>
    <row r="320" spans="1:5" ht="16.05" customHeight="1" x14ac:dyDescent="0.3">
      <c r="A320" s="75">
        <v>4</v>
      </c>
      <c r="B320" s="76" t="s">
        <v>580</v>
      </c>
      <c r="C320" s="89">
        <v>115.05</v>
      </c>
      <c r="D320" s="89">
        <v>119.28</v>
      </c>
      <c r="E320" s="76"/>
    </row>
    <row r="321" spans="1:5" ht="16.05" customHeight="1" x14ac:dyDescent="0.3">
      <c r="A321" s="81">
        <v>5</v>
      </c>
      <c r="B321" s="82" t="s">
        <v>581</v>
      </c>
      <c r="C321" s="134">
        <v>311.11</v>
      </c>
      <c r="D321" s="134">
        <v>316.52</v>
      </c>
      <c r="E321" s="84"/>
    </row>
    <row r="322" spans="1:5" ht="16.05" customHeight="1" x14ac:dyDescent="0.3">
      <c r="A322" s="75">
        <v>6</v>
      </c>
      <c r="B322" s="76" t="s">
        <v>583</v>
      </c>
      <c r="C322" s="89">
        <v>7.02</v>
      </c>
      <c r="D322" s="89">
        <v>5.52</v>
      </c>
      <c r="E322" s="76"/>
    </row>
    <row r="323" spans="1:5" ht="16.05" customHeight="1" x14ac:dyDescent="0.3">
      <c r="A323" s="81">
        <v>7</v>
      </c>
      <c r="B323" s="82" t="s">
        <v>584</v>
      </c>
      <c r="C323" s="134">
        <v>7.02</v>
      </c>
      <c r="D323" s="134">
        <v>5.52</v>
      </c>
      <c r="E323" s="84"/>
    </row>
    <row r="324" spans="1:5" ht="16.05" customHeight="1" x14ac:dyDescent="0.3">
      <c r="A324" s="75">
        <v>8</v>
      </c>
      <c r="B324" s="76" t="s">
        <v>585</v>
      </c>
      <c r="C324" s="89">
        <v>0.06</v>
      </c>
      <c r="D324" s="77" t="s">
        <v>111</v>
      </c>
      <c r="E324" s="76"/>
    </row>
    <row r="325" spans="1:5" ht="16.05" customHeight="1" x14ac:dyDescent="0.3">
      <c r="A325" s="69">
        <v>9</v>
      </c>
      <c r="B325" s="70" t="s">
        <v>586</v>
      </c>
      <c r="C325" s="90">
        <v>0.24</v>
      </c>
      <c r="D325" s="90">
        <v>0.31</v>
      </c>
      <c r="E325" s="70"/>
    </row>
    <row r="326" spans="1:5" ht="16.05" customHeight="1" x14ac:dyDescent="0.3">
      <c r="A326" s="75">
        <v>10</v>
      </c>
      <c r="B326" s="76" t="s">
        <v>587</v>
      </c>
      <c r="C326" s="89">
        <v>5.56</v>
      </c>
      <c r="D326" s="89">
        <v>5.47</v>
      </c>
      <c r="E326" s="76"/>
    </row>
    <row r="327" spans="1:5" ht="16.05" customHeight="1" x14ac:dyDescent="0.3">
      <c r="A327" s="69">
        <v>11</v>
      </c>
      <c r="B327" s="70" t="s">
        <v>588</v>
      </c>
      <c r="C327" s="90">
        <v>121.38</v>
      </c>
      <c r="D327" s="90">
        <v>272.64</v>
      </c>
      <c r="E327" s="70"/>
    </row>
    <row r="328" spans="1:5" ht="16.05" customHeight="1" x14ac:dyDescent="0.3">
      <c r="A328" s="75">
        <v>12</v>
      </c>
      <c r="B328" s="76" t="s">
        <v>589</v>
      </c>
      <c r="C328" s="89">
        <v>123.25</v>
      </c>
      <c r="D328" s="89">
        <v>320.66000000000003</v>
      </c>
      <c r="E328" s="76"/>
    </row>
    <row r="329" spans="1:5" ht="16.05" customHeight="1" x14ac:dyDescent="0.3">
      <c r="A329" s="69">
        <v>13</v>
      </c>
      <c r="B329" s="70" t="s">
        <v>590</v>
      </c>
      <c r="C329" s="90">
        <v>218.02</v>
      </c>
      <c r="D329" s="90">
        <v>109.66</v>
      </c>
      <c r="E329" s="70"/>
    </row>
    <row r="330" spans="1:5" ht="16.05" customHeight="1" x14ac:dyDescent="0.3">
      <c r="A330" s="75">
        <v>14</v>
      </c>
      <c r="B330" s="76" t="s">
        <v>395</v>
      </c>
      <c r="C330" s="89">
        <v>88.81</v>
      </c>
      <c r="D330" s="89">
        <v>36.619999999999997</v>
      </c>
      <c r="E330" s="76"/>
    </row>
    <row r="331" spans="1:5" ht="16.05" customHeight="1" x14ac:dyDescent="0.3">
      <c r="A331" s="81">
        <v>15</v>
      </c>
      <c r="B331" s="82" t="s">
        <v>814</v>
      </c>
      <c r="C331" s="134">
        <v>557.26</v>
      </c>
      <c r="D331" s="134">
        <v>745.36</v>
      </c>
      <c r="E331" s="84"/>
    </row>
    <row r="332" spans="1:5" ht="16.05" customHeight="1" x14ac:dyDescent="0.3">
      <c r="A332" s="75">
        <v>16</v>
      </c>
      <c r="B332" s="76" t="s">
        <v>592</v>
      </c>
      <c r="C332" s="89">
        <v>-0.42</v>
      </c>
      <c r="D332" s="89">
        <v>-0.42</v>
      </c>
      <c r="E332" s="76"/>
    </row>
    <row r="333" spans="1:5" ht="16.05" customHeight="1" x14ac:dyDescent="0.3">
      <c r="A333" s="69">
        <v>17</v>
      </c>
      <c r="B333" s="70" t="s">
        <v>593</v>
      </c>
      <c r="C333" s="90">
        <v>556.84</v>
      </c>
      <c r="D333" s="90">
        <v>744.94</v>
      </c>
      <c r="E333" s="70"/>
    </row>
    <row r="334" spans="1:5" ht="16.95" customHeight="1" x14ac:dyDescent="0.3">
      <c r="A334" s="78"/>
      <c r="B334" s="79" t="s">
        <v>594</v>
      </c>
      <c r="C334" s="91">
        <v>875.03</v>
      </c>
      <c r="D334" s="91">
        <v>1066.98</v>
      </c>
      <c r="E334" s="79"/>
    </row>
    <row r="335" spans="1:5" ht="7.95" customHeight="1" x14ac:dyDescent="0.3"/>
    <row r="336" spans="1:5" ht="19.95" customHeight="1" x14ac:dyDescent="0.3">
      <c r="A336" s="158" t="s">
        <v>597</v>
      </c>
      <c r="B336" s="149"/>
      <c r="C336" s="149"/>
      <c r="D336" s="149"/>
      <c r="E336" s="149"/>
    </row>
    <row r="337" spans="1:5" ht="30" customHeight="1" x14ac:dyDescent="0.3">
      <c r="A337" s="74" t="s">
        <v>97</v>
      </c>
      <c r="B337" s="74" t="s">
        <v>2</v>
      </c>
      <c r="C337" s="74" t="s">
        <v>3</v>
      </c>
      <c r="D337" s="74" t="s">
        <v>4</v>
      </c>
      <c r="E337" s="74"/>
    </row>
    <row r="338" spans="1:5" ht="16.05" customHeight="1" x14ac:dyDescent="0.3">
      <c r="A338" s="69">
        <v>1</v>
      </c>
      <c r="B338" s="70" t="s">
        <v>598</v>
      </c>
      <c r="C338" s="90">
        <v>11373.53</v>
      </c>
      <c r="D338" s="90">
        <v>10324</v>
      </c>
      <c r="E338" s="70"/>
    </row>
    <row r="339" spans="1:5" ht="16.05" customHeight="1" x14ac:dyDescent="0.3">
      <c r="A339" s="75">
        <v>2</v>
      </c>
      <c r="B339" s="76" t="s">
        <v>599</v>
      </c>
      <c r="C339" s="89">
        <v>37781.879999999997</v>
      </c>
      <c r="D339" s="89">
        <v>45918.51</v>
      </c>
      <c r="E339" s="76"/>
    </row>
    <row r="340" spans="1:5" ht="16.05" customHeight="1" x14ac:dyDescent="0.3">
      <c r="A340" s="69">
        <v>3</v>
      </c>
      <c r="B340" s="70" t="s">
        <v>600</v>
      </c>
      <c r="C340" s="90">
        <v>399.13</v>
      </c>
      <c r="D340" s="90">
        <v>1328.6</v>
      </c>
      <c r="E340" s="70"/>
    </row>
    <row r="341" spans="1:5" ht="16.05" customHeight="1" x14ac:dyDescent="0.3">
      <c r="A341" s="75">
        <v>4</v>
      </c>
      <c r="B341" s="76" t="s">
        <v>601</v>
      </c>
      <c r="C341" s="89">
        <v>2207.8000000000002</v>
      </c>
      <c r="D341" s="89">
        <v>2428.0500000000002</v>
      </c>
      <c r="E341" s="76"/>
    </row>
    <row r="342" spans="1:5" ht="16.05" customHeight="1" x14ac:dyDescent="0.3">
      <c r="A342" s="69">
        <v>5</v>
      </c>
      <c r="B342" s="70" t="s">
        <v>602</v>
      </c>
      <c r="C342" s="90">
        <v>756.67</v>
      </c>
      <c r="D342" s="90">
        <v>747.62</v>
      </c>
      <c r="E342" s="70"/>
    </row>
    <row r="343" spans="1:5" ht="16.05" customHeight="1" x14ac:dyDescent="0.3">
      <c r="A343" s="75">
        <v>6</v>
      </c>
      <c r="B343" s="76" t="s">
        <v>603</v>
      </c>
      <c r="C343" s="89">
        <v>327.32</v>
      </c>
      <c r="D343" s="89">
        <v>362.48</v>
      </c>
      <c r="E343" s="76"/>
    </row>
    <row r="344" spans="1:5" ht="16.05" customHeight="1" x14ac:dyDescent="0.3">
      <c r="A344" s="69">
        <v>7</v>
      </c>
      <c r="B344" s="70" t="s">
        <v>604</v>
      </c>
      <c r="C344" s="90">
        <v>427.79</v>
      </c>
      <c r="D344" s="90">
        <v>485.21</v>
      </c>
      <c r="E344" s="70"/>
    </row>
    <row r="345" spans="1:5" ht="16.05" customHeight="1" x14ac:dyDescent="0.3">
      <c r="A345" s="75">
        <v>8</v>
      </c>
      <c r="B345" s="76" t="s">
        <v>605</v>
      </c>
      <c r="C345" s="89">
        <v>1877.89</v>
      </c>
      <c r="D345" s="89">
        <v>1951.91</v>
      </c>
      <c r="E345" s="76"/>
    </row>
    <row r="346" spans="1:5" ht="16.05" customHeight="1" x14ac:dyDescent="0.3">
      <c r="A346" s="69">
        <v>9</v>
      </c>
      <c r="B346" s="70" t="s">
        <v>606</v>
      </c>
      <c r="C346" s="90">
        <v>121.23</v>
      </c>
      <c r="D346" s="90">
        <v>107.71</v>
      </c>
      <c r="E346" s="70"/>
    </row>
    <row r="347" spans="1:5" ht="16.05" customHeight="1" x14ac:dyDescent="0.3">
      <c r="A347" s="75">
        <v>10</v>
      </c>
      <c r="B347" s="76" t="s">
        <v>607</v>
      </c>
      <c r="C347" s="89">
        <v>771.95</v>
      </c>
      <c r="D347" s="89">
        <v>616.39</v>
      </c>
      <c r="E347" s="76"/>
    </row>
    <row r="348" spans="1:5" ht="16.05" customHeight="1" x14ac:dyDescent="0.3">
      <c r="A348" s="69">
        <v>11</v>
      </c>
      <c r="B348" s="70" t="s">
        <v>395</v>
      </c>
      <c r="C348" s="90">
        <v>2777.92</v>
      </c>
      <c r="D348" s="90">
        <v>2798.56</v>
      </c>
      <c r="E348" s="70"/>
    </row>
    <row r="349" spans="1:5" ht="16.05" customHeight="1" x14ac:dyDescent="0.3">
      <c r="A349" s="81">
        <v>12</v>
      </c>
      <c r="B349" s="82" t="s">
        <v>608</v>
      </c>
      <c r="C349" s="134">
        <v>58823.11</v>
      </c>
      <c r="D349" s="134">
        <v>67069.440000000002</v>
      </c>
      <c r="E349" s="84"/>
    </row>
    <row r="350" spans="1:5" ht="16.05" customHeight="1" x14ac:dyDescent="0.3">
      <c r="A350" s="69">
        <v>13</v>
      </c>
      <c r="B350" s="70" t="s">
        <v>609</v>
      </c>
      <c r="C350" s="90">
        <v>-9771.65</v>
      </c>
      <c r="D350" s="90">
        <v>-9360.18</v>
      </c>
      <c r="E350" s="70"/>
    </row>
    <row r="351" spans="1:5" ht="16.95" customHeight="1" x14ac:dyDescent="0.3">
      <c r="A351" s="78"/>
      <c r="B351" s="79" t="s">
        <v>610</v>
      </c>
      <c r="C351" s="91">
        <v>49051.46</v>
      </c>
      <c r="D351" s="91">
        <v>57709.26</v>
      </c>
      <c r="E351" s="79"/>
    </row>
    <row r="352" spans="1:5" ht="7.95" customHeight="1" x14ac:dyDescent="0.3"/>
    <row r="353" spans="1:5" ht="19.95" customHeight="1" x14ac:dyDescent="0.3">
      <c r="A353" s="158" t="s">
        <v>611</v>
      </c>
      <c r="B353" s="149"/>
      <c r="C353" s="149"/>
      <c r="D353" s="149"/>
      <c r="E353" s="149"/>
    </row>
    <row r="354" spans="1:5" ht="30" customHeight="1" x14ac:dyDescent="0.3">
      <c r="A354" s="74" t="s">
        <v>97</v>
      </c>
      <c r="B354" s="74" t="s">
        <v>2</v>
      </c>
      <c r="C354" s="74" t="s">
        <v>3</v>
      </c>
      <c r="D354" s="74" t="s">
        <v>4</v>
      </c>
      <c r="E354" s="74"/>
    </row>
    <row r="355" spans="1:5" ht="16.05" customHeight="1" x14ac:dyDescent="0.3">
      <c r="A355" s="69">
        <v>1</v>
      </c>
      <c r="B355" s="70" t="s">
        <v>612</v>
      </c>
      <c r="C355" s="90">
        <v>11747.32</v>
      </c>
      <c r="D355" s="90">
        <v>8616.89</v>
      </c>
      <c r="E355" s="70"/>
    </row>
    <row r="356" spans="1:5" ht="16.05" customHeight="1" x14ac:dyDescent="0.3">
      <c r="A356" s="75">
        <v>2</v>
      </c>
      <c r="B356" s="76" t="s">
        <v>613</v>
      </c>
      <c r="C356" s="89">
        <v>4197.0600000000004</v>
      </c>
      <c r="D356" s="89">
        <v>3902.14</v>
      </c>
      <c r="E356" s="76"/>
    </row>
    <row r="357" spans="1:5" ht="16.05" customHeight="1" x14ac:dyDescent="0.3">
      <c r="A357" s="69">
        <v>3</v>
      </c>
      <c r="B357" s="70" t="s">
        <v>614</v>
      </c>
      <c r="C357" s="90">
        <v>4111.42</v>
      </c>
      <c r="D357" s="90">
        <v>4182</v>
      </c>
      <c r="E357" s="70"/>
    </row>
    <row r="358" spans="1:5" ht="16.05" customHeight="1" x14ac:dyDescent="0.3">
      <c r="A358" s="81">
        <v>4</v>
      </c>
      <c r="B358" s="82" t="s">
        <v>615</v>
      </c>
      <c r="C358" s="134">
        <v>20055.8</v>
      </c>
      <c r="D358" s="134">
        <v>16701.03</v>
      </c>
      <c r="E358" s="84"/>
    </row>
    <row r="359" spans="1:5" ht="16.05" customHeight="1" x14ac:dyDescent="0.3">
      <c r="A359" s="69">
        <v>5</v>
      </c>
      <c r="B359" s="70" t="s">
        <v>616</v>
      </c>
      <c r="C359" s="90">
        <v>-10397.290000000001</v>
      </c>
      <c r="D359" s="90">
        <v>-11747.32</v>
      </c>
      <c r="E359" s="70"/>
    </row>
    <row r="360" spans="1:5" ht="16.05" customHeight="1" x14ac:dyDescent="0.3">
      <c r="A360" s="75">
        <v>6</v>
      </c>
      <c r="B360" s="76" t="s">
        <v>617</v>
      </c>
      <c r="C360" s="89">
        <v>-5521.42</v>
      </c>
      <c r="D360" s="89">
        <v>-4197.0600000000004</v>
      </c>
      <c r="E360" s="76"/>
    </row>
    <row r="361" spans="1:5" ht="16.05" customHeight="1" x14ac:dyDescent="0.3">
      <c r="A361" s="69">
        <v>7</v>
      </c>
      <c r="B361" s="70" t="s">
        <v>618</v>
      </c>
      <c r="C361" s="90">
        <v>-4048.34</v>
      </c>
      <c r="D361" s="90">
        <v>-4111.42</v>
      </c>
      <c r="E361" s="70"/>
    </row>
    <row r="362" spans="1:5" ht="16.05" customHeight="1" x14ac:dyDescent="0.3">
      <c r="A362" s="81">
        <v>8</v>
      </c>
      <c r="B362" s="82" t="s">
        <v>619</v>
      </c>
      <c r="C362" s="134">
        <v>-19967.05</v>
      </c>
      <c r="D362" s="134">
        <v>-20055.8</v>
      </c>
      <c r="E362" s="84"/>
    </row>
    <row r="363" spans="1:5" ht="16.95" customHeight="1" x14ac:dyDescent="0.3">
      <c r="A363" s="78"/>
      <c r="B363" s="79" t="s">
        <v>815</v>
      </c>
      <c r="C363" s="91">
        <v>88.75</v>
      </c>
      <c r="D363" s="91">
        <v>-3354.77</v>
      </c>
      <c r="E363" s="79"/>
    </row>
    <row r="364" spans="1:5" ht="7.95" customHeight="1" x14ac:dyDescent="0.3"/>
    <row r="365" spans="1:5" ht="19.95" customHeight="1" x14ac:dyDescent="0.3">
      <c r="A365" s="158" t="s">
        <v>623</v>
      </c>
      <c r="B365" s="149"/>
      <c r="C365" s="149"/>
      <c r="D365" s="149"/>
      <c r="E365" s="149"/>
    </row>
    <row r="366" spans="1:5" ht="30" customHeight="1" x14ac:dyDescent="0.3">
      <c r="A366" s="74" t="s">
        <v>97</v>
      </c>
      <c r="B366" s="74" t="s">
        <v>2</v>
      </c>
      <c r="C366" s="74" t="s">
        <v>3</v>
      </c>
      <c r="D366" s="74" t="s">
        <v>4</v>
      </c>
      <c r="E366" s="74"/>
    </row>
    <row r="367" spans="1:5" ht="16.05" customHeight="1" x14ac:dyDescent="0.3">
      <c r="A367" s="69">
        <v>1</v>
      </c>
      <c r="B367" s="70" t="s">
        <v>624</v>
      </c>
      <c r="C367" s="90">
        <v>8639.7199999999993</v>
      </c>
      <c r="D367" s="90">
        <v>8748.1200000000008</v>
      </c>
      <c r="E367" s="70"/>
    </row>
    <row r="368" spans="1:5" ht="16.05" customHeight="1" x14ac:dyDescent="0.3">
      <c r="A368" s="75">
        <v>2</v>
      </c>
      <c r="B368" s="76" t="s">
        <v>625</v>
      </c>
      <c r="C368" s="89">
        <v>970.82</v>
      </c>
      <c r="D368" s="89">
        <v>792.26</v>
      </c>
      <c r="E368" s="76"/>
    </row>
    <row r="369" spans="1:5" ht="16.05" customHeight="1" x14ac:dyDescent="0.3">
      <c r="A369" s="69">
        <v>3</v>
      </c>
      <c r="B369" s="70" t="s">
        <v>626</v>
      </c>
      <c r="C369" s="90">
        <v>1290.22</v>
      </c>
      <c r="D369" s="90">
        <v>1437.26</v>
      </c>
      <c r="E369" s="70"/>
    </row>
    <row r="370" spans="1:5" ht="16.05" customHeight="1" x14ac:dyDescent="0.3">
      <c r="A370" s="75">
        <v>4</v>
      </c>
      <c r="B370" s="76" t="s">
        <v>627</v>
      </c>
      <c r="C370" s="89">
        <v>0.23</v>
      </c>
      <c r="D370" s="77" t="s">
        <v>111</v>
      </c>
      <c r="E370" s="76"/>
    </row>
    <row r="371" spans="1:5" ht="16.05" customHeight="1" x14ac:dyDescent="0.3">
      <c r="A371" s="69">
        <v>5</v>
      </c>
      <c r="B371" s="70" t="s">
        <v>628</v>
      </c>
      <c r="C371" s="90">
        <v>554.49</v>
      </c>
      <c r="D371" s="90">
        <v>559.96</v>
      </c>
      <c r="E371" s="70"/>
    </row>
    <row r="372" spans="1:5" ht="16.05" customHeight="1" x14ac:dyDescent="0.3">
      <c r="A372" s="75">
        <v>6</v>
      </c>
      <c r="B372" s="76" t="s">
        <v>629</v>
      </c>
      <c r="C372" s="89">
        <v>219.47</v>
      </c>
      <c r="D372" s="89">
        <v>228.12</v>
      </c>
      <c r="E372" s="76"/>
    </row>
    <row r="373" spans="1:5" ht="16.95" customHeight="1" x14ac:dyDescent="0.3">
      <c r="A373" s="78"/>
      <c r="B373" s="79" t="s">
        <v>630</v>
      </c>
      <c r="C373" s="91">
        <v>11674.95</v>
      </c>
      <c r="D373" s="91">
        <v>11765.72</v>
      </c>
      <c r="E373" s="79"/>
    </row>
    <row r="374" spans="1:5" ht="7.95" customHeight="1" x14ac:dyDescent="0.3"/>
    <row r="375" spans="1:5" ht="19.95" customHeight="1" x14ac:dyDescent="0.3">
      <c r="A375" s="158" t="s">
        <v>631</v>
      </c>
      <c r="B375" s="149"/>
      <c r="C375" s="149"/>
      <c r="D375" s="149"/>
      <c r="E375" s="149"/>
    </row>
    <row r="376" spans="1:5" ht="30" customHeight="1" x14ac:dyDescent="0.3">
      <c r="A376" s="74" t="s">
        <v>97</v>
      </c>
      <c r="B376" s="74" t="s">
        <v>2</v>
      </c>
      <c r="C376" s="74" t="s">
        <v>3</v>
      </c>
      <c r="D376" s="74" t="s">
        <v>4</v>
      </c>
      <c r="E376" s="74"/>
    </row>
    <row r="377" spans="1:5" ht="16.05" customHeight="1" x14ac:dyDescent="0.3">
      <c r="A377" s="69">
        <v>1</v>
      </c>
      <c r="B377" s="70" t="s">
        <v>632</v>
      </c>
      <c r="C377" s="90">
        <v>22.8</v>
      </c>
      <c r="D377" s="90">
        <v>25.3</v>
      </c>
      <c r="E377" s="70"/>
    </row>
    <row r="378" spans="1:5" ht="16.05" customHeight="1" x14ac:dyDescent="0.3">
      <c r="A378" s="75">
        <v>2</v>
      </c>
      <c r="B378" s="76" t="s">
        <v>633</v>
      </c>
      <c r="C378" s="89">
        <v>34.33</v>
      </c>
      <c r="D378" s="89">
        <v>101.49</v>
      </c>
      <c r="E378" s="76"/>
    </row>
    <row r="379" spans="1:5" ht="16.05" customHeight="1" x14ac:dyDescent="0.3">
      <c r="A379" s="69">
        <v>3</v>
      </c>
      <c r="B379" s="70" t="s">
        <v>634</v>
      </c>
      <c r="C379" s="90">
        <v>47.58</v>
      </c>
      <c r="D379" s="90">
        <v>18.600000000000001</v>
      </c>
      <c r="E379" s="70"/>
    </row>
    <row r="380" spans="1:5" ht="16.05" customHeight="1" x14ac:dyDescent="0.3">
      <c r="A380" s="75">
        <v>4</v>
      </c>
      <c r="B380" s="76" t="s">
        <v>635</v>
      </c>
      <c r="C380" s="89">
        <v>9.7100000000000009</v>
      </c>
      <c r="D380" s="89">
        <v>9.2899999999999991</v>
      </c>
      <c r="E380" s="76"/>
    </row>
    <row r="381" spans="1:5" ht="16.05" customHeight="1" x14ac:dyDescent="0.3">
      <c r="A381" s="69">
        <v>5</v>
      </c>
      <c r="B381" s="70" t="s">
        <v>636</v>
      </c>
      <c r="C381" s="90">
        <v>2637.44</v>
      </c>
      <c r="D381" s="90">
        <v>2256.7600000000002</v>
      </c>
      <c r="E381" s="70"/>
    </row>
    <row r="382" spans="1:5" ht="16.05" customHeight="1" x14ac:dyDescent="0.3">
      <c r="A382" s="75">
        <v>6</v>
      </c>
      <c r="B382" s="76" t="s">
        <v>637</v>
      </c>
      <c r="C382" s="89">
        <v>7.59</v>
      </c>
      <c r="D382" s="89">
        <v>2.74</v>
      </c>
      <c r="E382" s="76"/>
    </row>
    <row r="383" spans="1:5" ht="16.05" customHeight="1" x14ac:dyDescent="0.3">
      <c r="A383" s="69">
        <v>7</v>
      </c>
      <c r="B383" s="70" t="s">
        <v>638</v>
      </c>
      <c r="C383" s="90">
        <v>33.72</v>
      </c>
      <c r="D383" s="90">
        <v>59.68</v>
      </c>
      <c r="E383" s="70"/>
    </row>
    <row r="384" spans="1:5" ht="16.95" customHeight="1" x14ac:dyDescent="0.3">
      <c r="A384" s="78"/>
      <c r="B384" s="79" t="s">
        <v>639</v>
      </c>
      <c r="C384" s="91">
        <v>2793.17</v>
      </c>
      <c r="D384" s="91">
        <v>2473.86</v>
      </c>
      <c r="E384" s="79"/>
    </row>
    <row r="385" spans="1:5" ht="7.95" customHeight="1" x14ac:dyDescent="0.3"/>
    <row r="386" spans="1:5" ht="19.95" customHeight="1" x14ac:dyDescent="0.3">
      <c r="A386" s="158" t="s">
        <v>640</v>
      </c>
      <c r="B386" s="149"/>
      <c r="C386" s="149"/>
      <c r="D386" s="149"/>
      <c r="E386" s="149"/>
    </row>
    <row r="387" spans="1:5" ht="30" customHeight="1" x14ac:dyDescent="0.3">
      <c r="A387" s="74" t="s">
        <v>97</v>
      </c>
      <c r="B387" s="74" t="s">
        <v>2</v>
      </c>
      <c r="C387" s="74" t="s">
        <v>3</v>
      </c>
      <c r="D387" s="74" t="s">
        <v>4</v>
      </c>
      <c r="E387" s="74"/>
    </row>
    <row r="388" spans="1:5" ht="16.05" customHeight="1" x14ac:dyDescent="0.3">
      <c r="A388" s="69">
        <v>1</v>
      </c>
      <c r="B388" s="70" t="s">
        <v>641</v>
      </c>
      <c r="C388" s="90">
        <v>4884.76</v>
      </c>
      <c r="D388" s="90">
        <v>4909.34</v>
      </c>
      <c r="E388" s="70"/>
    </row>
    <row r="389" spans="1:5" ht="16.05" customHeight="1" x14ac:dyDescent="0.3">
      <c r="A389" s="75">
        <v>2</v>
      </c>
      <c r="B389" s="76" t="s">
        <v>642</v>
      </c>
      <c r="C389" s="89">
        <v>349.33</v>
      </c>
      <c r="D389" s="89">
        <v>311.35000000000002</v>
      </c>
      <c r="E389" s="76"/>
    </row>
    <row r="390" spans="1:5" ht="16.05" customHeight="1" x14ac:dyDescent="0.3">
      <c r="A390" s="69">
        <v>3</v>
      </c>
      <c r="B390" s="70" t="s">
        <v>643</v>
      </c>
      <c r="C390" s="90">
        <v>1689.06</v>
      </c>
      <c r="D390" s="90">
        <v>1463.59</v>
      </c>
      <c r="E390" s="70"/>
    </row>
    <row r="391" spans="1:5" ht="16.05" customHeight="1" x14ac:dyDescent="0.3">
      <c r="A391" s="75">
        <v>4</v>
      </c>
      <c r="B391" s="76" t="s">
        <v>644</v>
      </c>
      <c r="C391" s="89">
        <v>544.34</v>
      </c>
      <c r="D391" s="89">
        <v>508.76</v>
      </c>
      <c r="E391" s="76"/>
    </row>
    <row r="392" spans="1:5" ht="16.05" customHeight="1" x14ac:dyDescent="0.3">
      <c r="A392" s="81">
        <v>5</v>
      </c>
      <c r="B392" s="82" t="s">
        <v>645</v>
      </c>
      <c r="C392" s="134">
        <v>2582.73</v>
      </c>
      <c r="D392" s="134">
        <v>2283.6999999999998</v>
      </c>
      <c r="E392" s="84"/>
    </row>
    <row r="393" spans="1:5" ht="16.05" customHeight="1" x14ac:dyDescent="0.3">
      <c r="A393" s="75">
        <v>6</v>
      </c>
      <c r="B393" s="76" t="s">
        <v>646</v>
      </c>
      <c r="C393" s="89">
        <v>1169.94</v>
      </c>
      <c r="D393" s="89">
        <v>908.2</v>
      </c>
      <c r="E393" s="76"/>
    </row>
    <row r="394" spans="1:5" ht="16.05" customHeight="1" x14ac:dyDescent="0.3">
      <c r="A394" s="69">
        <v>7</v>
      </c>
      <c r="B394" s="70" t="s">
        <v>647</v>
      </c>
      <c r="C394" s="90">
        <v>331.96</v>
      </c>
      <c r="D394" s="90">
        <v>307.43</v>
      </c>
      <c r="E394" s="70"/>
    </row>
    <row r="395" spans="1:5" ht="16.05" customHeight="1" x14ac:dyDescent="0.3">
      <c r="A395" s="81">
        <v>8</v>
      </c>
      <c r="B395" s="82" t="s">
        <v>648</v>
      </c>
      <c r="C395" s="134">
        <v>1501.9</v>
      </c>
      <c r="D395" s="134">
        <v>1215.6300000000001</v>
      </c>
      <c r="E395" s="84"/>
    </row>
    <row r="396" spans="1:5" ht="16.05" customHeight="1" x14ac:dyDescent="0.3">
      <c r="A396" s="69">
        <v>9</v>
      </c>
      <c r="B396" s="70" t="s">
        <v>816</v>
      </c>
      <c r="C396" s="90">
        <v>7.27</v>
      </c>
      <c r="D396" s="90">
        <v>5.93</v>
      </c>
      <c r="E396" s="70"/>
    </row>
    <row r="397" spans="1:5" ht="16.05" customHeight="1" x14ac:dyDescent="0.3">
      <c r="A397" s="75">
        <v>10</v>
      </c>
      <c r="B397" s="76" t="s">
        <v>654</v>
      </c>
      <c r="C397" s="89">
        <v>164.84</v>
      </c>
      <c r="D397" s="89">
        <v>63.07</v>
      </c>
      <c r="E397" s="76"/>
    </row>
    <row r="398" spans="1:5" ht="16.05" customHeight="1" x14ac:dyDescent="0.3">
      <c r="A398" s="69">
        <v>11</v>
      </c>
      <c r="B398" s="70" t="s">
        <v>655</v>
      </c>
      <c r="C398" s="71" t="s">
        <v>111</v>
      </c>
      <c r="D398" s="90">
        <v>52.51</v>
      </c>
      <c r="E398" s="70"/>
    </row>
    <row r="399" spans="1:5" ht="16.05" customHeight="1" x14ac:dyDescent="0.3">
      <c r="A399" s="75">
        <v>12</v>
      </c>
      <c r="B399" s="76" t="s">
        <v>656</v>
      </c>
      <c r="C399" s="89">
        <v>131.78</v>
      </c>
      <c r="D399" s="89">
        <v>96.76</v>
      </c>
      <c r="E399" s="76"/>
    </row>
    <row r="400" spans="1:5" ht="16.05" customHeight="1" x14ac:dyDescent="0.3">
      <c r="A400" s="81">
        <v>13</v>
      </c>
      <c r="B400" s="82" t="s">
        <v>657</v>
      </c>
      <c r="C400" s="134">
        <v>296.62</v>
      </c>
      <c r="D400" s="134">
        <v>212.34</v>
      </c>
      <c r="E400" s="84"/>
    </row>
    <row r="401" spans="1:5" ht="16.05" customHeight="1" x14ac:dyDescent="0.3">
      <c r="A401" s="75">
        <v>14</v>
      </c>
      <c r="B401" s="76" t="s">
        <v>658</v>
      </c>
      <c r="C401" s="89">
        <v>7585.36</v>
      </c>
      <c r="D401" s="89">
        <v>7544.59</v>
      </c>
      <c r="E401" s="76"/>
    </row>
    <row r="402" spans="1:5" ht="16.05" customHeight="1" x14ac:dyDescent="0.3">
      <c r="A402" s="69">
        <v>15</v>
      </c>
      <c r="B402" s="70" t="s">
        <v>659</v>
      </c>
      <c r="C402" s="90">
        <v>3167.98</v>
      </c>
      <c r="D402" s="90">
        <v>3176.8</v>
      </c>
      <c r="E402" s="70"/>
    </row>
    <row r="403" spans="1:5" ht="16.05" customHeight="1" x14ac:dyDescent="0.3">
      <c r="A403" s="75">
        <v>16</v>
      </c>
      <c r="B403" s="76" t="s">
        <v>660</v>
      </c>
      <c r="C403" s="89">
        <v>5428.72</v>
      </c>
      <c r="D403" s="89">
        <v>5577.3</v>
      </c>
      <c r="E403" s="76"/>
    </row>
    <row r="404" spans="1:5" ht="16.05" customHeight="1" x14ac:dyDescent="0.3">
      <c r="A404" s="69">
        <v>17</v>
      </c>
      <c r="B404" s="70" t="s">
        <v>661</v>
      </c>
      <c r="C404" s="90">
        <v>188.21</v>
      </c>
      <c r="D404" s="90">
        <v>204.28</v>
      </c>
      <c r="E404" s="70"/>
    </row>
    <row r="405" spans="1:5" ht="16.05" customHeight="1" x14ac:dyDescent="0.3">
      <c r="A405" s="75">
        <v>18</v>
      </c>
      <c r="B405" s="76" t="s">
        <v>662</v>
      </c>
      <c r="C405" s="89">
        <v>69.53</v>
      </c>
      <c r="D405" s="89">
        <v>88.59</v>
      </c>
      <c r="E405" s="76"/>
    </row>
    <row r="406" spans="1:5" ht="16.05" customHeight="1" x14ac:dyDescent="0.3">
      <c r="A406" s="69">
        <v>19</v>
      </c>
      <c r="B406" s="70" t="s">
        <v>663</v>
      </c>
      <c r="C406" s="90">
        <v>322.02999999999997</v>
      </c>
      <c r="D406" s="90">
        <v>179.6</v>
      </c>
      <c r="E406" s="70"/>
    </row>
    <row r="407" spans="1:5" ht="16.05" customHeight="1" x14ac:dyDescent="0.3">
      <c r="A407" s="75">
        <v>20</v>
      </c>
      <c r="B407" s="76" t="s">
        <v>664</v>
      </c>
      <c r="C407" s="89">
        <v>98.68</v>
      </c>
      <c r="D407" s="89">
        <v>87.39</v>
      </c>
      <c r="E407" s="76"/>
    </row>
    <row r="408" spans="1:5" ht="16.05" customHeight="1" x14ac:dyDescent="0.3">
      <c r="A408" s="69">
        <v>21</v>
      </c>
      <c r="B408" s="70" t="s">
        <v>665</v>
      </c>
      <c r="C408" s="90">
        <v>899.59</v>
      </c>
      <c r="D408" s="90">
        <v>827.72</v>
      </c>
      <c r="E408" s="70"/>
    </row>
    <row r="409" spans="1:5" ht="16.05" customHeight="1" x14ac:dyDescent="0.3">
      <c r="A409" s="75">
        <v>22</v>
      </c>
      <c r="B409" s="76" t="s">
        <v>666</v>
      </c>
      <c r="C409" s="89">
        <v>88.49</v>
      </c>
      <c r="D409" s="89">
        <v>78.66</v>
      </c>
      <c r="E409" s="76"/>
    </row>
    <row r="410" spans="1:5" ht="16.05" customHeight="1" x14ac:dyDescent="0.3">
      <c r="A410" s="69">
        <v>23</v>
      </c>
      <c r="B410" s="70" t="s">
        <v>667</v>
      </c>
      <c r="C410" s="90">
        <v>43.07</v>
      </c>
      <c r="D410" s="90">
        <v>29.13</v>
      </c>
      <c r="E410" s="70"/>
    </row>
    <row r="411" spans="1:5" ht="16.05" customHeight="1" x14ac:dyDescent="0.3">
      <c r="A411" s="75">
        <v>24</v>
      </c>
      <c r="B411" s="76" t="s">
        <v>668</v>
      </c>
      <c r="C411" s="89">
        <v>88.02</v>
      </c>
      <c r="D411" s="89">
        <v>91.53</v>
      </c>
      <c r="E411" s="76"/>
    </row>
    <row r="412" spans="1:5" ht="16.05" customHeight="1" x14ac:dyDescent="0.3">
      <c r="A412" s="69">
        <v>25</v>
      </c>
      <c r="B412" s="70" t="s">
        <v>669</v>
      </c>
      <c r="C412" s="90">
        <v>138.66</v>
      </c>
      <c r="D412" s="90">
        <v>162.44999999999999</v>
      </c>
      <c r="E412" s="70"/>
    </row>
    <row r="413" spans="1:5" ht="16.05" customHeight="1" x14ac:dyDescent="0.3">
      <c r="A413" s="75">
        <v>26</v>
      </c>
      <c r="B413" s="76" t="s">
        <v>670</v>
      </c>
      <c r="C413" s="89">
        <v>220.81</v>
      </c>
      <c r="D413" s="89">
        <v>181.17</v>
      </c>
      <c r="E413" s="76"/>
    </row>
    <row r="414" spans="1:5" ht="16.05" customHeight="1" x14ac:dyDescent="0.3">
      <c r="A414" s="69">
        <v>27</v>
      </c>
      <c r="B414" s="70" t="s">
        <v>671</v>
      </c>
      <c r="C414" s="90">
        <v>43.93</v>
      </c>
      <c r="D414" s="71" t="s">
        <v>111</v>
      </c>
      <c r="E414" s="70"/>
    </row>
    <row r="415" spans="1:5" ht="16.05" customHeight="1" x14ac:dyDescent="0.3">
      <c r="A415" s="75">
        <v>28</v>
      </c>
      <c r="B415" s="76" t="s">
        <v>672</v>
      </c>
      <c r="C415" s="89">
        <v>296.67</v>
      </c>
      <c r="D415" s="89">
        <v>270.14999999999998</v>
      </c>
      <c r="E415" s="76"/>
    </row>
    <row r="416" spans="1:5" ht="16.05" customHeight="1" x14ac:dyDescent="0.3">
      <c r="A416" s="69">
        <v>29</v>
      </c>
      <c r="B416" s="70" t="s">
        <v>673</v>
      </c>
      <c r="C416" s="90">
        <v>12.02</v>
      </c>
      <c r="D416" s="90">
        <v>9.6199999999999992</v>
      </c>
      <c r="E416" s="70"/>
    </row>
    <row r="417" spans="1:5" ht="16.05" customHeight="1" x14ac:dyDescent="0.3">
      <c r="A417" s="75">
        <v>30</v>
      </c>
      <c r="B417" s="76" t="s">
        <v>674</v>
      </c>
      <c r="C417" s="89">
        <v>15.58</v>
      </c>
      <c r="D417" s="89">
        <v>34.65</v>
      </c>
      <c r="E417" s="76"/>
    </row>
    <row r="418" spans="1:5" ht="16.05" customHeight="1" x14ac:dyDescent="0.3">
      <c r="A418" s="69">
        <v>31</v>
      </c>
      <c r="B418" s="70" t="s">
        <v>675</v>
      </c>
      <c r="C418" s="90">
        <v>1075.56</v>
      </c>
      <c r="D418" s="90">
        <v>845.49</v>
      </c>
      <c r="E418" s="70"/>
    </row>
    <row r="419" spans="1:5" ht="16.95" customHeight="1" x14ac:dyDescent="0.3">
      <c r="A419" s="78"/>
      <c r="B419" s="79" t="s">
        <v>676</v>
      </c>
      <c r="C419" s="91">
        <v>29160.71</v>
      </c>
      <c r="D419" s="91">
        <v>28108.81</v>
      </c>
      <c r="E419" s="79"/>
    </row>
  </sheetData>
  <mergeCells count="40">
    <mergeCell ref="A223:E223"/>
    <mergeCell ref="A239:E239"/>
    <mergeCell ref="A101:E101"/>
    <mergeCell ref="A1:E1"/>
    <mergeCell ref="A216:E216"/>
    <mergeCell ref="A123:E123"/>
    <mergeCell ref="A3:E3"/>
    <mergeCell ref="A2:E2"/>
    <mergeCell ref="A5:E5"/>
    <mergeCell ref="A139:E139"/>
    <mergeCell ref="A210:E210"/>
    <mergeCell ref="A14:E14"/>
    <mergeCell ref="A22:E22"/>
    <mergeCell ref="A35:E35"/>
    <mergeCell ref="A40:E40"/>
    <mergeCell ref="A54:E54"/>
    <mergeCell ref="A73:E73"/>
    <mergeCell ref="A82:E82"/>
    <mergeCell ref="A207:E207"/>
    <mergeCell ref="A203:E203"/>
    <mergeCell ref="A144:E144"/>
    <mergeCell ref="A91:E91"/>
    <mergeCell ref="A109:E109"/>
    <mergeCell ref="A187:E187"/>
    <mergeCell ref="A386:E386"/>
    <mergeCell ref="A336:E336"/>
    <mergeCell ref="A155:E155"/>
    <mergeCell ref="A202:E202"/>
    <mergeCell ref="A353:E353"/>
    <mergeCell ref="A269:E269"/>
    <mergeCell ref="A315:E315"/>
    <mergeCell ref="A375:E375"/>
    <mergeCell ref="A282:E282"/>
    <mergeCell ref="A365:E365"/>
    <mergeCell ref="A294:E294"/>
    <mergeCell ref="A302:E302"/>
    <mergeCell ref="A185:E185"/>
    <mergeCell ref="A253:E253"/>
    <mergeCell ref="A246:E246"/>
    <mergeCell ref="A233:E2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8"/>
  <sheetViews>
    <sheetView showGridLines="0" topLeftCell="E21" zoomScale="109" zoomScaleNormal="110" workbookViewId="0">
      <selection activeCell="I10" sqref="I10"/>
    </sheetView>
  </sheetViews>
  <sheetFormatPr defaultRowHeight="14.4" x14ac:dyDescent="0.3"/>
  <cols>
    <col min="1" max="1" width="1.88671875" style="52" customWidth="1"/>
    <col min="2" max="2" width="40.21875" style="52" customWidth="1"/>
    <col min="3" max="3" width="15.77734375" style="52" bestFit="1" customWidth="1"/>
    <col min="4" max="4" width="17.44140625" style="52" bestFit="1" customWidth="1"/>
    <col min="5" max="5" width="16.21875" style="52" bestFit="1" customWidth="1"/>
    <col min="6" max="6" width="16.44140625" style="52" bestFit="1" customWidth="1"/>
    <col min="10" max="10" width="10.33203125" bestFit="1" customWidth="1"/>
    <col min="12" max="12" width="10.21875" bestFit="1" customWidth="1"/>
    <col min="13" max="13" width="10" bestFit="1" customWidth="1"/>
    <col min="14" max="14" width="20.21875" bestFit="1" customWidth="1"/>
    <col min="17" max="17" width="8" customWidth="1"/>
  </cols>
  <sheetData>
    <row r="1" spans="2:14" ht="16.8" customHeight="1" x14ac:dyDescent="0.3">
      <c r="B1" s="152" t="s">
        <v>817</v>
      </c>
      <c r="C1" s="149"/>
      <c r="D1" s="149"/>
      <c r="E1" s="149"/>
      <c r="F1" s="149"/>
      <c r="G1" s="149"/>
      <c r="H1" s="149"/>
    </row>
    <row r="2" spans="2:14" x14ac:dyDescent="0.3">
      <c r="B2" s="163"/>
      <c r="C2" s="149"/>
      <c r="D2" s="149"/>
      <c r="E2" s="149"/>
      <c r="F2" s="149"/>
      <c r="G2" s="149"/>
    </row>
    <row r="3" spans="2:14" x14ac:dyDescent="0.3">
      <c r="B3" s="8" t="s">
        <v>818</v>
      </c>
      <c r="C3" s="9"/>
      <c r="D3" s="9"/>
      <c r="E3" s="9"/>
      <c r="F3" s="9"/>
      <c r="G3" s="9"/>
      <c r="H3" s="9"/>
      <c r="I3" s="9"/>
      <c r="J3" s="9"/>
    </row>
    <row r="5" spans="2:14" x14ac:dyDescent="0.3">
      <c r="B5" s="10" t="s">
        <v>819</v>
      </c>
    </row>
    <row r="7" spans="2:14" x14ac:dyDescent="0.3">
      <c r="B7" s="11" t="s">
        <v>820</v>
      </c>
      <c r="K7" s="26" t="s">
        <v>821</v>
      </c>
      <c r="L7" s="27"/>
      <c r="M7" s="27"/>
      <c r="N7" s="27"/>
    </row>
    <row r="8" spans="2:14" x14ac:dyDescent="0.3">
      <c r="B8" s="12"/>
      <c r="C8" s="12"/>
      <c r="D8" s="12"/>
      <c r="E8" s="12"/>
      <c r="F8" s="12"/>
      <c r="G8" s="13" t="s">
        <v>822</v>
      </c>
      <c r="H8" s="13" t="s">
        <v>823</v>
      </c>
      <c r="I8" s="13" t="s">
        <v>824</v>
      </c>
      <c r="J8" s="13" t="s">
        <v>824</v>
      </c>
    </row>
    <row r="9" spans="2:14" ht="16.2" customHeight="1" x14ac:dyDescent="0.3">
      <c r="B9" s="14" t="s">
        <v>825</v>
      </c>
      <c r="C9" s="14" t="s">
        <v>826</v>
      </c>
      <c r="D9" s="14" t="s">
        <v>37</v>
      </c>
      <c r="E9" s="14" t="s">
        <v>827</v>
      </c>
      <c r="F9" s="14" t="s">
        <v>828</v>
      </c>
      <c r="G9" s="15" t="s">
        <v>829</v>
      </c>
      <c r="H9" s="15" t="s">
        <v>829</v>
      </c>
      <c r="I9" s="15" t="s">
        <v>34</v>
      </c>
      <c r="J9" s="15" t="s">
        <v>830</v>
      </c>
      <c r="K9" t="s">
        <v>831</v>
      </c>
      <c r="N9" s="28">
        <f>I10</f>
        <v>0.14245113092291831</v>
      </c>
    </row>
    <row r="10" spans="2:14" x14ac:dyDescent="0.3">
      <c r="B10" s="16" t="s">
        <v>817</v>
      </c>
      <c r="C10" s="16" t="s">
        <v>832</v>
      </c>
      <c r="D10" s="17">
        <f>IFERROR(SUM('Consolidated Balance Sheet'!B35:B36),0)</f>
        <v>58905.61</v>
      </c>
      <c r="E10" s="17">
        <f>IFERROR(SUM('Consolidated Balance Sheet'!B40,'Consolidated Balance Sheet'!B41,'Consolidated Balance Sheet'!B50,'Consolidated Balance Sheet'!B51),0)</f>
        <v>36933.94</v>
      </c>
      <c r="F10" s="18">
        <v>0.3</v>
      </c>
      <c r="G10" s="19">
        <f>IFERROR(D10/SUM(D10:E10),0)</f>
        <v>0.61462736417272412</v>
      </c>
      <c r="H10" s="19">
        <f>IFERROR(E10/(SUM(D10:E10)),0)</f>
        <v>0.38537263582727593</v>
      </c>
      <c r="I10" s="19">
        <v>0.14245113092291831</v>
      </c>
      <c r="J10" s="20">
        <f>L25</f>
        <v>5.2938273035587319E-2</v>
      </c>
      <c r="K10" t="s">
        <v>833</v>
      </c>
      <c r="N10" s="29">
        <f>G10</f>
        <v>0.61462736417272412</v>
      </c>
    </row>
    <row r="11" spans="2:14" x14ac:dyDescent="0.3">
      <c r="B11" s="49"/>
      <c r="C11" s="49"/>
      <c r="D11" s="163" t="s">
        <v>820</v>
      </c>
      <c r="E11" s="149"/>
      <c r="F11" s="51"/>
      <c r="G11" s="19"/>
      <c r="H11" s="19"/>
      <c r="I11" s="19"/>
      <c r="J11" s="21"/>
      <c r="K11" t="s">
        <v>834</v>
      </c>
      <c r="N11" s="29">
        <f>J10</f>
        <v>5.2938273035587319E-2</v>
      </c>
    </row>
    <row r="12" spans="2:14" ht="16.8" customHeight="1" x14ac:dyDescent="0.3">
      <c r="B12" s="166" t="s">
        <v>835</v>
      </c>
      <c r="C12" s="167"/>
      <c r="D12" s="22">
        <f>SUM(D10:E10)</f>
        <v>95839.55</v>
      </c>
      <c r="E12" s="12"/>
      <c r="F12" s="23"/>
      <c r="G12" s="24">
        <f>G10+H10</f>
        <v>1</v>
      </c>
      <c r="H12" s="24"/>
      <c r="I12" s="24"/>
      <c r="J12" s="25"/>
      <c r="K12" t="s">
        <v>836</v>
      </c>
      <c r="N12" s="29">
        <f>H10</f>
        <v>0.38537263582727593</v>
      </c>
    </row>
    <row r="13" spans="2:14" x14ac:dyDescent="0.3">
      <c r="K13" s="30" t="s">
        <v>837</v>
      </c>
      <c r="L13" s="30"/>
      <c r="M13" s="30"/>
      <c r="N13" s="31">
        <f>(N9*N10)+(N11*N12)</f>
        <v>0.1079553249384452</v>
      </c>
    </row>
    <row r="15" spans="2:14" x14ac:dyDescent="0.3">
      <c r="B15" s="180" t="s">
        <v>956</v>
      </c>
    </row>
    <row r="18" spans="2:15" x14ac:dyDescent="0.3">
      <c r="B18" t="s">
        <v>838</v>
      </c>
      <c r="C18" t="s">
        <v>820</v>
      </c>
    </row>
    <row r="19" spans="2:15" ht="15.6" customHeight="1" x14ac:dyDescent="0.3">
      <c r="B19" s="164" t="s">
        <v>839</v>
      </c>
      <c r="C19" s="149"/>
      <c r="D19" s="149"/>
      <c r="E19" s="149"/>
      <c r="F19" s="149"/>
      <c r="H19" s="137" t="s">
        <v>840</v>
      </c>
      <c r="I19" s="136"/>
      <c r="J19" s="136"/>
      <c r="K19" s="136"/>
      <c r="L19" s="136"/>
      <c r="M19" s="136" t="s">
        <v>820</v>
      </c>
      <c r="N19" s="136"/>
    </row>
    <row r="20" spans="2:15" x14ac:dyDescent="0.3">
      <c r="H20" s="136"/>
      <c r="I20" s="136"/>
      <c r="J20" s="136"/>
      <c r="K20" s="136"/>
      <c r="L20" s="136"/>
      <c r="M20" s="136"/>
      <c r="N20" s="136"/>
    </row>
    <row r="21" spans="2:15" ht="15" customHeight="1" x14ac:dyDescent="0.3">
      <c r="B21" s="32" t="s">
        <v>841</v>
      </c>
      <c r="C21" s="32" t="s">
        <v>842</v>
      </c>
      <c r="D21" s="32" t="s">
        <v>843</v>
      </c>
      <c r="E21" s="32" t="s">
        <v>844</v>
      </c>
      <c r="F21" s="32" t="s">
        <v>845</v>
      </c>
      <c r="H21" s="136"/>
      <c r="I21" s="45" t="s">
        <v>834</v>
      </c>
      <c r="J21" s="139"/>
      <c r="K21" s="139"/>
      <c r="L21" s="139"/>
      <c r="M21" s="139" t="s">
        <v>846</v>
      </c>
      <c r="N21" s="139"/>
      <c r="O21" s="139"/>
    </row>
    <row r="22" spans="2:15" ht="15" customHeight="1" x14ac:dyDescent="0.3">
      <c r="B22" s="33">
        <v>2011</v>
      </c>
      <c r="C22" s="41">
        <v>1.2</v>
      </c>
      <c r="D22" s="41">
        <v>0</v>
      </c>
      <c r="E22" s="41">
        <v>1.2</v>
      </c>
      <c r="F22" s="34"/>
      <c r="H22" s="136"/>
      <c r="I22" s="136"/>
      <c r="J22" s="136"/>
      <c r="K22" s="136"/>
      <c r="L22" s="136"/>
      <c r="M22" s="136"/>
      <c r="N22" s="136"/>
    </row>
    <row r="23" spans="2:15" x14ac:dyDescent="0.3">
      <c r="B23" s="33">
        <v>2012</v>
      </c>
      <c r="C23" s="41">
        <v>0.8</v>
      </c>
      <c r="D23" s="41">
        <v>1.2</v>
      </c>
      <c r="E23" s="41">
        <v>2</v>
      </c>
      <c r="F23" s="34">
        <f t="shared" ref="F23:F32" si="0">E23/E22-1</f>
        <v>0.66666666666666674</v>
      </c>
      <c r="H23" s="136"/>
      <c r="I23" s="136" t="s">
        <v>847</v>
      </c>
      <c r="J23" s="136"/>
      <c r="K23" s="136"/>
      <c r="L23" s="20">
        <f>O23</f>
        <v>7.5626104336553313E-2</v>
      </c>
      <c r="M23" s="136"/>
      <c r="N23" s="136" t="s">
        <v>848</v>
      </c>
      <c r="O23" s="20">
        <f>IFERROR('Consolidated Income Statement'!B14/WACC!E10,0)</f>
        <v>7.5626104336553313E-2</v>
      </c>
    </row>
    <row r="24" spans="2:15" x14ac:dyDescent="0.3">
      <c r="B24" s="33">
        <v>2013</v>
      </c>
      <c r="C24" s="41">
        <v>0.4</v>
      </c>
      <c r="D24" s="41">
        <v>1.6</v>
      </c>
      <c r="E24" s="41">
        <v>2</v>
      </c>
      <c r="F24" s="34">
        <f t="shared" si="0"/>
        <v>0</v>
      </c>
      <c r="H24" s="136"/>
      <c r="I24" s="136" t="s">
        <v>849</v>
      </c>
      <c r="J24" s="136"/>
      <c r="K24" s="136"/>
      <c r="L24" s="29">
        <f>F10</f>
        <v>0.3</v>
      </c>
      <c r="M24" s="136"/>
      <c r="N24" s="136"/>
    </row>
    <row r="25" spans="2:15" x14ac:dyDescent="0.3">
      <c r="B25" s="33">
        <v>2014</v>
      </c>
      <c r="C25" s="41">
        <v>0</v>
      </c>
      <c r="D25" s="41">
        <v>2.02</v>
      </c>
      <c r="E25" s="41">
        <v>2.02</v>
      </c>
      <c r="F25" s="34">
        <f t="shared" si="0"/>
        <v>1.0000000000000009E-2</v>
      </c>
      <c r="H25" s="136"/>
      <c r="I25" s="46" t="s">
        <v>850</v>
      </c>
      <c r="J25" s="46"/>
      <c r="K25" s="46"/>
      <c r="L25" s="47">
        <f>L23*(1-L24)</f>
        <v>5.2938273035587319E-2</v>
      </c>
      <c r="M25" s="136"/>
      <c r="N25" s="136"/>
    </row>
    <row r="26" spans="2:15" x14ac:dyDescent="0.3">
      <c r="B26" s="33">
        <v>2015</v>
      </c>
      <c r="C26" s="41">
        <v>0.25</v>
      </c>
      <c r="D26" s="41">
        <v>1.75</v>
      </c>
      <c r="E26" s="41">
        <v>2</v>
      </c>
      <c r="F26" s="34">
        <f t="shared" si="0"/>
        <v>-9.9009900990099098E-3</v>
      </c>
      <c r="O26" t="s">
        <v>820</v>
      </c>
    </row>
    <row r="27" spans="2:15" x14ac:dyDescent="0.3">
      <c r="B27" s="33">
        <v>2019</v>
      </c>
      <c r="C27" s="41">
        <v>0.5</v>
      </c>
      <c r="D27" s="41">
        <v>0</v>
      </c>
      <c r="E27" s="41">
        <v>0.5</v>
      </c>
      <c r="F27" s="34">
        <f t="shared" si="0"/>
        <v>-0.75</v>
      </c>
    </row>
    <row r="28" spans="2:15" x14ac:dyDescent="0.3">
      <c r="B28" s="33">
        <v>2021</v>
      </c>
      <c r="C28" s="41">
        <v>1.8</v>
      </c>
      <c r="D28" s="41">
        <v>5</v>
      </c>
      <c r="E28" s="41">
        <v>6.8</v>
      </c>
      <c r="F28" s="34">
        <f t="shared" si="0"/>
        <v>12.6</v>
      </c>
    </row>
    <row r="29" spans="2:15" x14ac:dyDescent="0.3">
      <c r="B29" s="33">
        <v>2022</v>
      </c>
      <c r="C29" s="41">
        <v>2.25</v>
      </c>
      <c r="D29" s="41">
        <v>2.5</v>
      </c>
      <c r="E29" s="41">
        <v>4.75</v>
      </c>
      <c r="F29" s="34">
        <f t="shared" si="0"/>
        <v>-0.30147058823529405</v>
      </c>
    </row>
    <row r="30" spans="2:15" x14ac:dyDescent="0.3">
      <c r="B30" s="33">
        <v>2023</v>
      </c>
      <c r="C30" s="41">
        <v>0.5</v>
      </c>
      <c r="D30" s="41">
        <v>1</v>
      </c>
      <c r="E30" s="41">
        <v>1.5</v>
      </c>
      <c r="F30" s="34">
        <f t="shared" si="0"/>
        <v>-0.68421052631578949</v>
      </c>
    </row>
    <row r="31" spans="2:15" x14ac:dyDescent="0.3">
      <c r="B31" s="33">
        <v>2024</v>
      </c>
      <c r="C31" s="41">
        <v>1</v>
      </c>
      <c r="D31" s="41">
        <v>1</v>
      </c>
      <c r="E31" s="41">
        <v>2</v>
      </c>
      <c r="F31" s="34">
        <f t="shared" si="0"/>
        <v>0.33333333333333326</v>
      </c>
    </row>
    <row r="32" spans="2:15" x14ac:dyDescent="0.3">
      <c r="B32" s="33">
        <v>2025</v>
      </c>
      <c r="C32" s="41">
        <v>1.6</v>
      </c>
      <c r="D32" s="41">
        <v>0</v>
      </c>
      <c r="E32" s="41">
        <v>1.6</v>
      </c>
      <c r="F32" s="34">
        <f t="shared" si="0"/>
        <v>-0.19999999999999996</v>
      </c>
    </row>
    <row r="33" spans="2:21" x14ac:dyDescent="0.3">
      <c r="B33" t="s">
        <v>820</v>
      </c>
      <c r="F33" s="34" t="s">
        <v>820</v>
      </c>
    </row>
    <row r="34" spans="2:21" x14ac:dyDescent="0.3">
      <c r="E34" s="35" t="s">
        <v>851</v>
      </c>
      <c r="F34" s="36">
        <f>AVERAGE(F23:F32)</f>
        <v>1.1664417895349908</v>
      </c>
    </row>
    <row r="35" spans="2:21" x14ac:dyDescent="0.3">
      <c r="E35" s="37" t="s">
        <v>852</v>
      </c>
      <c r="F35" s="38">
        <f>_xlfn.RRI(10,E22,E32)</f>
        <v>2.9186008964760646E-2</v>
      </c>
      <c r="G35" s="29">
        <f>F35</f>
        <v>2.9186008964760646E-2</v>
      </c>
    </row>
    <row r="36" spans="2:21" x14ac:dyDescent="0.3">
      <c r="E36" s="37" t="s">
        <v>853</v>
      </c>
      <c r="F36" s="39">
        <f>MEDIAN(F23:F32)</f>
        <v>-4.9504950495049549E-3</v>
      </c>
    </row>
    <row r="37" spans="2:21" x14ac:dyDescent="0.3">
      <c r="B37" t="s">
        <v>854</v>
      </c>
      <c r="E37" s="40" t="s">
        <v>855</v>
      </c>
      <c r="F37" s="40">
        <v>154.94</v>
      </c>
      <c r="G37" s="165" t="s">
        <v>856</v>
      </c>
      <c r="H37" s="149"/>
      <c r="I37" s="149"/>
      <c r="J37" s="149"/>
    </row>
    <row r="38" spans="2:21" ht="15.6" customHeight="1" x14ac:dyDescent="0.3">
      <c r="B38" s="42" t="s">
        <v>857</v>
      </c>
      <c r="C38" s="43">
        <f>IFERROR(E32*(1+G35),0)</f>
        <v>1.6466976143436172</v>
      </c>
    </row>
    <row r="39" spans="2:21" ht="15.6" customHeight="1" x14ac:dyDescent="0.3">
      <c r="B39" s="42" t="s">
        <v>858</v>
      </c>
      <c r="C39" s="44">
        <f>IFERROR((C38/F37)+G35,0)</f>
        <v>3.9813978593930759E-2</v>
      </c>
    </row>
    <row r="42" spans="2:21" x14ac:dyDescent="0.3">
      <c r="B42" s="181" t="s">
        <v>886</v>
      </c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</row>
    <row r="43" spans="2:21" x14ac:dyDescent="0.3">
      <c r="B43" s="162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82"/>
      <c r="S43" s="182"/>
    </row>
    <row r="44" spans="2:21" x14ac:dyDescent="0.3">
      <c r="B44" s="182" t="s">
        <v>820</v>
      </c>
      <c r="C44" s="183" t="s">
        <v>887</v>
      </c>
      <c r="D44" s="183"/>
      <c r="E44" s="183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</row>
    <row r="45" spans="2:21" x14ac:dyDescent="0.3">
      <c r="B45" s="139"/>
      <c r="C45" s="184"/>
      <c r="D45" s="184"/>
      <c r="E45" s="185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</row>
    <row r="46" spans="2:21" x14ac:dyDescent="0.3">
      <c r="B46" s="32" t="s">
        <v>888</v>
      </c>
      <c r="C46" s="32" t="s">
        <v>889</v>
      </c>
      <c r="D46" s="32" t="s">
        <v>890</v>
      </c>
      <c r="G46" s="52"/>
      <c r="H46" s="52"/>
      <c r="I46" s="52"/>
      <c r="J46" s="32" t="s">
        <v>888</v>
      </c>
      <c r="K46" s="32" t="s">
        <v>889</v>
      </c>
      <c r="L46" s="32" t="s">
        <v>890</v>
      </c>
      <c r="R46" s="182"/>
      <c r="S46" s="182"/>
    </row>
    <row r="47" spans="2:21" x14ac:dyDescent="0.3">
      <c r="B47" s="97">
        <v>42508</v>
      </c>
      <c r="C47" s="98">
        <v>7870.15</v>
      </c>
      <c r="D47" s="17"/>
      <c r="E47" s="37" t="s">
        <v>891</v>
      </c>
      <c r="F47" s="37"/>
      <c r="G47" s="38">
        <f>AVERAGE(D48:D56)</f>
        <v>0.15973164996490874</v>
      </c>
      <c r="H47" s="38">
        <f>MEDIAN(D48:D56)</f>
        <v>0.11637623152709353</v>
      </c>
      <c r="J47" s="97">
        <v>42508</v>
      </c>
      <c r="K47" s="52">
        <v>42.25</v>
      </c>
      <c r="L47" s="52"/>
      <c r="M47" s="52"/>
      <c r="N47" s="37" t="s">
        <v>891</v>
      </c>
      <c r="O47" s="37"/>
      <c r="P47" s="38">
        <f>AVERAGE(L48:L56)</f>
        <v>0.45777934727911745</v>
      </c>
      <c r="Q47" s="38">
        <f>MEDIAN(L48:L56)</f>
        <v>-2.4822695035460973E-2</v>
      </c>
      <c r="R47" s="182"/>
      <c r="S47" s="182"/>
      <c r="U47" s="52"/>
    </row>
    <row r="48" spans="2:21" x14ac:dyDescent="0.3">
      <c r="B48" s="97">
        <v>42873</v>
      </c>
      <c r="C48" s="98">
        <v>9429.4500000000007</v>
      </c>
      <c r="D48" s="17">
        <f>C48/C47-1</f>
        <v>0.19812837112380333</v>
      </c>
      <c r="E48" s="37" t="s">
        <v>852</v>
      </c>
      <c r="F48" s="37"/>
      <c r="G48" s="99">
        <f>_xlfn.RRI(10,C47,C56)</f>
        <v>0.12227899169107537</v>
      </c>
      <c r="H48" s="37"/>
      <c r="J48" s="97">
        <v>42873</v>
      </c>
      <c r="K48" s="52">
        <v>60.4</v>
      </c>
      <c r="L48" s="102">
        <f>IFERROR(K48/K47-1,0)</f>
        <v>0.42958579881656811</v>
      </c>
      <c r="M48" s="52"/>
      <c r="N48" s="113" t="s">
        <v>852</v>
      </c>
      <c r="O48" s="113"/>
      <c r="P48" s="114">
        <f>_xlfn.RRI(10,K47,K56)</f>
        <v>0.11234121058889035</v>
      </c>
      <c r="Q48" s="40"/>
      <c r="R48" s="182"/>
      <c r="S48" s="182"/>
    </row>
    <row r="49" spans="2:21" x14ac:dyDescent="0.3">
      <c r="B49" s="97">
        <v>43238</v>
      </c>
      <c r="C49" s="98">
        <v>10596.4</v>
      </c>
      <c r="D49" s="17">
        <f t="shared" ref="D49:D56" si="1">C49/C48-1</f>
        <v>0.1237558924433555</v>
      </c>
      <c r="E49" s="37" t="s">
        <v>892</v>
      </c>
      <c r="F49" s="37"/>
      <c r="G49" s="38">
        <f>G47</f>
        <v>0.15973164996490874</v>
      </c>
      <c r="H49" s="37"/>
      <c r="J49" s="97">
        <v>43238</v>
      </c>
      <c r="K49" s="52">
        <v>73.599999999999994</v>
      </c>
      <c r="L49" s="102">
        <f>IFERROR(K49/K48-1,0)</f>
        <v>0.2185430463576159</v>
      </c>
      <c r="M49" s="52"/>
      <c r="N49" s="37" t="s">
        <v>895</v>
      </c>
      <c r="O49" s="37"/>
      <c r="P49" s="38">
        <f>P47</f>
        <v>0.45777934727911745</v>
      </c>
      <c r="Q49" s="37"/>
      <c r="R49" s="182"/>
      <c r="S49" s="182"/>
      <c r="U49" s="52"/>
    </row>
    <row r="50" spans="2:21" x14ac:dyDescent="0.3">
      <c r="B50" s="97">
        <v>43605</v>
      </c>
      <c r="C50" s="98">
        <v>11828.25</v>
      </c>
      <c r="D50" s="17">
        <f t="shared" si="1"/>
        <v>0.11625174587595799</v>
      </c>
      <c r="E50" s="17"/>
      <c r="F50" s="17"/>
      <c r="G50" s="52"/>
      <c r="H50" s="17"/>
      <c r="I50" s="52"/>
      <c r="J50" s="97">
        <v>43605</v>
      </c>
      <c r="K50" s="52">
        <v>51.45</v>
      </c>
      <c r="L50" s="102">
        <f t="shared" ref="L50:L56" si="2">IFERROR(K50/K49-1,0)</f>
        <v>-0.30095108695652162</v>
      </c>
      <c r="M50" s="52"/>
      <c r="N50" s="52"/>
      <c r="O50" s="52"/>
      <c r="P50" s="52"/>
      <c r="Q50" s="52"/>
      <c r="R50" s="182"/>
      <c r="S50" s="182"/>
      <c r="U50" s="52" t="s">
        <v>820</v>
      </c>
    </row>
    <row r="51" spans="2:21" ht="15.6" x14ac:dyDescent="0.35">
      <c r="B51" s="97">
        <v>43969</v>
      </c>
      <c r="C51" s="98">
        <v>8823.25</v>
      </c>
      <c r="D51" s="17">
        <f t="shared" si="1"/>
        <v>-0.25405279732842978</v>
      </c>
      <c r="E51" s="17"/>
      <c r="F51" s="17"/>
      <c r="G51" s="52"/>
      <c r="H51" s="17"/>
      <c r="I51" s="52"/>
      <c r="J51" s="97">
        <v>43969</v>
      </c>
      <c r="K51" s="52">
        <v>27.45</v>
      </c>
      <c r="L51" s="102">
        <f t="shared" si="2"/>
        <v>-0.46647230320699717</v>
      </c>
      <c r="M51" s="52"/>
      <c r="N51" s="104">
        <v>6.3799999999999996E-2</v>
      </c>
      <c r="O51" s="105" t="s">
        <v>896</v>
      </c>
      <c r="P51" s="106" t="s">
        <v>897</v>
      </c>
      <c r="Q51" s="52"/>
      <c r="R51" s="182"/>
      <c r="S51" s="182"/>
      <c r="U51" s="52" t="s">
        <v>820</v>
      </c>
    </row>
    <row r="52" spans="2:21" ht="15.6" x14ac:dyDescent="0.35">
      <c r="B52" s="97">
        <v>44334</v>
      </c>
      <c r="C52" s="98">
        <v>15108.1</v>
      </c>
      <c r="D52" s="17">
        <f t="shared" si="1"/>
        <v>0.7123055563426175</v>
      </c>
      <c r="E52" s="17"/>
      <c r="F52" s="17"/>
      <c r="G52" s="52"/>
      <c r="H52" s="52"/>
      <c r="I52" s="100"/>
      <c r="J52" s="97">
        <v>44334</v>
      </c>
      <c r="K52" s="52">
        <v>131.94999999999999</v>
      </c>
      <c r="L52" s="102">
        <f t="shared" si="2"/>
        <v>3.8069216757741344</v>
      </c>
      <c r="M52" s="52"/>
      <c r="N52" s="107">
        <f>Beta!N7</f>
        <v>1.6202960323556337</v>
      </c>
      <c r="O52" s="103" t="s">
        <v>957</v>
      </c>
      <c r="P52" s="35"/>
      <c r="Q52" s="52"/>
      <c r="R52" s="182"/>
      <c r="S52" s="182"/>
      <c r="U52" s="52" t="s">
        <v>820</v>
      </c>
    </row>
    <row r="53" spans="2:21" ht="24.6" x14ac:dyDescent="0.55000000000000004">
      <c r="B53" s="97">
        <v>44699</v>
      </c>
      <c r="C53" s="98">
        <v>16240</v>
      </c>
      <c r="D53" s="17">
        <f t="shared" si="1"/>
        <v>7.4920075985729584E-2</v>
      </c>
      <c r="E53" s="17"/>
      <c r="F53" s="101"/>
      <c r="G53" s="52"/>
      <c r="H53" s="52"/>
      <c r="I53" s="52"/>
      <c r="J53" s="97">
        <v>44699</v>
      </c>
      <c r="K53" s="52">
        <v>84.6</v>
      </c>
      <c r="L53" s="102">
        <f t="shared" si="2"/>
        <v>-0.35884804850322094</v>
      </c>
      <c r="M53" s="52"/>
      <c r="N53" s="108">
        <f>P48</f>
        <v>0.11234121058889035</v>
      </c>
      <c r="O53" s="35" t="s">
        <v>898</v>
      </c>
      <c r="P53" s="35"/>
      <c r="Q53" s="52"/>
      <c r="R53" s="182"/>
      <c r="S53" s="182"/>
      <c r="U53" s="52"/>
    </row>
    <row r="54" spans="2:21" x14ac:dyDescent="0.3">
      <c r="B54" s="97">
        <v>45064</v>
      </c>
      <c r="C54" s="98">
        <v>18129.95</v>
      </c>
      <c r="D54" s="17">
        <f t="shared" si="1"/>
        <v>0.11637623152709353</v>
      </c>
      <c r="E54" s="17"/>
      <c r="F54" s="17"/>
      <c r="G54" s="52"/>
      <c r="H54" s="52"/>
      <c r="I54" s="176"/>
      <c r="J54" s="97">
        <v>45064</v>
      </c>
      <c r="K54" s="52">
        <v>82.5</v>
      </c>
      <c r="L54" s="102">
        <f t="shared" si="2"/>
        <v>-2.4822695035460973E-2</v>
      </c>
      <c r="M54" s="52"/>
      <c r="N54" s="35"/>
      <c r="O54" s="35"/>
      <c r="P54" s="35"/>
      <c r="Q54" s="52"/>
      <c r="R54" s="182"/>
      <c r="S54" s="182"/>
      <c r="U54" s="52"/>
    </row>
    <row r="55" spans="2:21" ht="15.6" x14ac:dyDescent="0.35">
      <c r="B55" s="97">
        <v>45433</v>
      </c>
      <c r="C55" s="98">
        <v>22529.05</v>
      </c>
      <c r="D55" s="17">
        <f t="shared" si="1"/>
        <v>0.24264269895945656</v>
      </c>
      <c r="E55" s="17"/>
      <c r="F55" s="17"/>
      <c r="G55" s="52"/>
      <c r="H55" s="52"/>
      <c r="I55" s="52"/>
      <c r="J55" s="97">
        <v>45433</v>
      </c>
      <c r="K55" s="52">
        <v>174.35</v>
      </c>
      <c r="L55" s="102">
        <f t="shared" si="2"/>
        <v>1.1133333333333333</v>
      </c>
      <c r="M55" s="52"/>
      <c r="N55" s="35" t="s">
        <v>899</v>
      </c>
      <c r="O55" s="105">
        <f>N51+(N52)*(N53-N51)</f>
        <v>0.14245113092291831</v>
      </c>
      <c r="P55" s="109" t="s">
        <v>900</v>
      </c>
      <c r="Q55" s="52"/>
      <c r="R55" s="182"/>
      <c r="S55" s="182"/>
      <c r="U55" s="52"/>
    </row>
    <row r="56" spans="2:21" x14ac:dyDescent="0.3">
      <c r="B56" s="97">
        <v>45796</v>
      </c>
      <c r="C56" s="98">
        <v>24945.45</v>
      </c>
      <c r="D56" s="17">
        <f t="shared" si="1"/>
        <v>0.10725707475459467</v>
      </c>
      <c r="E56" s="17"/>
      <c r="F56" s="17"/>
      <c r="G56" s="52"/>
      <c r="H56" s="52"/>
      <c r="I56" s="52"/>
      <c r="J56" s="97">
        <v>45797</v>
      </c>
      <c r="K56" s="52">
        <v>122.52</v>
      </c>
      <c r="L56" s="102">
        <f t="shared" si="2"/>
        <v>-0.29727559506739321</v>
      </c>
      <c r="M56" s="52"/>
      <c r="N56" s="42" t="s">
        <v>858</v>
      </c>
      <c r="O56" s="44">
        <f>IFERROR(C39,0)</f>
        <v>3.9813978593930759E-2</v>
      </c>
      <c r="Q56" s="52"/>
      <c r="R56" s="182"/>
      <c r="S56" s="182"/>
      <c r="U56" s="52"/>
    </row>
    <row r="57" spans="2:21" x14ac:dyDescent="0.3">
      <c r="M57" s="52"/>
      <c r="N57" s="52"/>
      <c r="R57" s="182"/>
      <c r="S57" s="182"/>
    </row>
    <row r="58" spans="2:21" x14ac:dyDescent="0.3">
      <c r="R58" s="182"/>
      <c r="S58" s="182"/>
    </row>
  </sheetData>
  <sheetProtection formatCells="0" formatColumns="0" formatRows="0" insertColumns="0" insertRows="0" insertHyperlinks="0" deleteColumns="0" deleteRows="0" sort="0" autoFilter="0" pivotTables="0"/>
  <mergeCells count="8">
    <mergeCell ref="B42:B43"/>
    <mergeCell ref="C44:E44"/>
    <mergeCell ref="B2:G2"/>
    <mergeCell ref="B1:H1"/>
    <mergeCell ref="D11:E11"/>
    <mergeCell ref="B19:F19"/>
    <mergeCell ref="G37:J37"/>
    <mergeCell ref="B12:C12"/>
  </mergeCells>
  <dataValidations count="1">
    <dataValidation type="list" allowBlank="1" showInputMessage="1" showErrorMessage="1" sqref="I10" xr:uid="{1538F5B9-ACFD-4329-9785-ECF4158AFD4A}">
      <formula1>$O$55:$O$56</formula1>
    </dataValidation>
  </dataValidations>
  <hyperlinks>
    <hyperlink ref="P51" r:id="rId1" xr:uid="{BAC38DC7-50FC-4CAD-A55D-16888B3552EE}"/>
  </hyperlinks>
  <pageMargins left="0.7" right="0.7" top="0.75" bottom="0.75" header="0.3" footer="0.3"/>
  <ignoredErrors>
    <ignoredError sqref="D10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DAE6-9630-48D0-825F-6D5924F03251}">
  <dimension ref="B1:AD263"/>
  <sheetViews>
    <sheetView showGridLines="0" topLeftCell="E3" zoomScale="62" workbookViewId="0">
      <selection activeCell="S30" sqref="S30"/>
    </sheetView>
  </sheetViews>
  <sheetFormatPr defaultRowHeight="14.4" x14ac:dyDescent="0.3"/>
  <cols>
    <col min="1" max="1" width="1.88671875" customWidth="1"/>
    <col min="2" max="3" width="8.88671875" style="52"/>
    <col min="4" max="4" width="10.33203125" style="52" bestFit="1" customWidth="1"/>
    <col min="5" max="5" width="10.6640625" style="52" customWidth="1"/>
    <col min="6" max="6" width="10.21875" style="52" bestFit="1" customWidth="1"/>
    <col min="8" max="8" width="10.33203125" style="52" bestFit="1" customWidth="1"/>
    <col min="9" max="9" width="8.88671875" style="52"/>
    <col min="12" max="12" width="18.88671875" customWidth="1"/>
    <col min="13" max="13" width="17.77734375" customWidth="1"/>
    <col min="16" max="16" width="12.109375" customWidth="1"/>
    <col min="18" max="18" width="8.88671875" style="136"/>
    <col min="20" max="20" width="10.44140625" bestFit="1" customWidth="1"/>
    <col min="21" max="21" width="11" bestFit="1" customWidth="1"/>
    <col min="22" max="22" width="11" style="136" customWidth="1"/>
    <col min="24" max="24" width="10.44140625" bestFit="1" customWidth="1"/>
    <col min="26" max="26" width="11" bestFit="1" customWidth="1"/>
    <col min="27" max="27" width="11" style="176" customWidth="1"/>
    <col min="28" max="28" width="10.44140625" bestFit="1" customWidth="1"/>
    <col min="29" max="29" width="11" bestFit="1" customWidth="1"/>
  </cols>
  <sheetData>
    <row r="1" spans="2:30" s="85" customFormat="1" x14ac:dyDescent="0.3">
      <c r="P1" s="136" t="s">
        <v>820</v>
      </c>
      <c r="R1" s="136"/>
      <c r="T1" s="136" t="s">
        <v>820</v>
      </c>
      <c r="V1" s="136"/>
      <c r="X1" s="136" t="s">
        <v>820</v>
      </c>
      <c r="AA1" s="176"/>
      <c r="AB1" s="136" t="s">
        <v>820</v>
      </c>
    </row>
    <row r="2" spans="2:30" s="52" customFormat="1" x14ac:dyDescent="0.3">
      <c r="B2" s="168" t="s">
        <v>817</v>
      </c>
      <c r="C2" s="168"/>
      <c r="D2" s="168"/>
      <c r="E2" s="168"/>
      <c r="H2" s="168" t="s">
        <v>887</v>
      </c>
      <c r="I2" s="168"/>
      <c r="P2" s="168" t="s">
        <v>955</v>
      </c>
      <c r="Q2" s="168"/>
      <c r="R2" s="136"/>
      <c r="T2" s="168" t="s">
        <v>954</v>
      </c>
      <c r="U2" s="168"/>
      <c r="V2" s="136"/>
      <c r="X2" s="168" t="s">
        <v>953</v>
      </c>
      <c r="Y2" s="168"/>
      <c r="AA2" s="176"/>
      <c r="AB2" s="168" t="s">
        <v>952</v>
      </c>
      <c r="AC2" s="168"/>
    </row>
    <row r="3" spans="2:30" x14ac:dyDescent="0.3">
      <c r="B3" s="52" t="s">
        <v>901</v>
      </c>
      <c r="C3" s="52" t="s">
        <v>902</v>
      </c>
      <c r="D3" s="174" t="s">
        <v>903</v>
      </c>
      <c r="E3" s="174" t="s">
        <v>904</v>
      </c>
      <c r="F3" s="174" t="s">
        <v>943</v>
      </c>
      <c r="H3" s="174" t="s">
        <v>905</v>
      </c>
      <c r="I3" s="174" t="s">
        <v>906</v>
      </c>
      <c r="J3" s="174" t="s">
        <v>942</v>
      </c>
      <c r="P3" s="174" t="s">
        <v>905</v>
      </c>
      <c r="Q3" s="174" t="s">
        <v>906</v>
      </c>
      <c r="R3" s="174" t="s">
        <v>942</v>
      </c>
      <c r="T3" s="174" t="s">
        <v>905</v>
      </c>
      <c r="U3" s="174" t="s">
        <v>906</v>
      </c>
      <c r="V3" s="174" t="s">
        <v>942</v>
      </c>
      <c r="X3" s="174" t="s">
        <v>903</v>
      </c>
      <c r="Y3" s="174" t="s">
        <v>904</v>
      </c>
      <c r="Z3" s="174" t="s">
        <v>942</v>
      </c>
      <c r="AA3" s="177"/>
      <c r="AB3" s="174" t="s">
        <v>903</v>
      </c>
      <c r="AC3" s="174" t="s">
        <v>904</v>
      </c>
      <c r="AD3" s="174" t="s">
        <v>942</v>
      </c>
    </row>
    <row r="4" spans="2:30" x14ac:dyDescent="0.3">
      <c r="B4" s="52" t="s">
        <v>893</v>
      </c>
      <c r="C4" s="52" t="s">
        <v>894</v>
      </c>
      <c r="D4" s="97">
        <v>45658</v>
      </c>
      <c r="E4" s="175">
        <v>112.93</v>
      </c>
      <c r="H4" s="97">
        <v>45658</v>
      </c>
      <c r="I4" s="175">
        <v>23742.9</v>
      </c>
      <c r="P4" s="97">
        <v>45658</v>
      </c>
      <c r="Q4" s="175">
        <v>938.1</v>
      </c>
      <c r="T4" s="97">
        <v>45658</v>
      </c>
      <c r="U4" s="175">
        <v>43.59</v>
      </c>
      <c r="X4" s="97">
        <v>45658</v>
      </c>
      <c r="Y4" s="175">
        <v>905.45</v>
      </c>
      <c r="AB4" s="97">
        <v>45658</v>
      </c>
      <c r="AC4" s="175">
        <v>136.74</v>
      </c>
    </row>
    <row r="5" spans="2:30" x14ac:dyDescent="0.3">
      <c r="B5" s="52" t="s">
        <v>893</v>
      </c>
      <c r="C5" s="52" t="s">
        <v>894</v>
      </c>
      <c r="D5" s="97">
        <v>45659</v>
      </c>
      <c r="E5" s="175">
        <v>114.07</v>
      </c>
      <c r="F5" s="102">
        <f>E5/E4-1</f>
        <v>1.009474895953244E-2</v>
      </c>
      <c r="H5" s="97">
        <v>45659</v>
      </c>
      <c r="I5" s="175">
        <v>24188.65</v>
      </c>
      <c r="J5" s="102">
        <f>I5/I4-1</f>
        <v>1.8774033500541298E-2</v>
      </c>
      <c r="P5" s="97">
        <v>45659</v>
      </c>
      <c r="Q5" s="175">
        <v>941.7</v>
      </c>
      <c r="R5" s="102">
        <f>Q5/Q4-1</f>
        <v>3.8375439718580928E-3</v>
      </c>
      <c r="T5" s="97">
        <v>45659</v>
      </c>
      <c r="U5" s="175">
        <v>43.63</v>
      </c>
      <c r="V5" s="102">
        <f>U5/U4-1</f>
        <v>9.1764166093133426E-4</v>
      </c>
      <c r="X5" s="97">
        <v>45659</v>
      </c>
      <c r="Y5" s="175">
        <v>912.5</v>
      </c>
      <c r="Z5" s="102">
        <f>Y5/Y4-1</f>
        <v>7.7861836655805927E-3</v>
      </c>
      <c r="AA5" s="178"/>
      <c r="AB5" s="97">
        <v>45659</v>
      </c>
      <c r="AC5" s="175">
        <v>138.18</v>
      </c>
      <c r="AD5" s="102">
        <f>AC5/AC4-1</f>
        <v>1.053093462044763E-2</v>
      </c>
    </row>
    <row r="6" spans="2:30" x14ac:dyDescent="0.3">
      <c r="B6" s="52" t="s">
        <v>893</v>
      </c>
      <c r="C6" s="52" t="s">
        <v>894</v>
      </c>
      <c r="D6" s="97">
        <v>45660</v>
      </c>
      <c r="E6" s="175">
        <v>114.17</v>
      </c>
      <c r="F6" s="102">
        <f t="shared" ref="F6:F69" si="0">E6/E5-1</f>
        <v>8.7665468571929139E-4</v>
      </c>
      <c r="H6" s="97">
        <v>45660</v>
      </c>
      <c r="I6" s="175">
        <v>24004.75</v>
      </c>
      <c r="J6" s="102">
        <f t="shared" ref="J6:J69" si="1">I6/I5-1</f>
        <v>-7.6027393012839672E-3</v>
      </c>
      <c r="L6" s="179" t="s">
        <v>817</v>
      </c>
      <c r="M6" s="179"/>
      <c r="N6" s="111">
        <f>SLOPE(F5:F252,J$5:J$252)</f>
        <v>1.6202960323556332</v>
      </c>
      <c r="O6" s="112" t="s">
        <v>907</v>
      </c>
      <c r="P6" s="97">
        <v>45660</v>
      </c>
      <c r="Q6" s="175">
        <v>957.85</v>
      </c>
      <c r="R6" s="102">
        <f t="shared" ref="R6:R69" si="2">Q6/Q5-1</f>
        <v>1.7149835404056457E-2</v>
      </c>
      <c r="T6" s="97">
        <v>45660</v>
      </c>
      <c r="U6" s="175">
        <v>43.44</v>
      </c>
      <c r="V6" s="102">
        <f t="shared" ref="V6:V70" si="3">U6/U5-1</f>
        <v>-4.3548017419208218E-3</v>
      </c>
      <c r="X6" s="97">
        <v>45660</v>
      </c>
      <c r="Y6" s="175">
        <v>915.05</v>
      </c>
      <c r="Z6" s="102">
        <f>Y6/Y5-1</f>
        <v>2.7945205479451563E-3</v>
      </c>
      <c r="AA6" s="178"/>
      <c r="AB6" s="97">
        <v>45660</v>
      </c>
      <c r="AC6" s="175">
        <v>138.36000000000001</v>
      </c>
      <c r="AD6" s="102">
        <f t="shared" ref="AD6:AD69" si="4">AC6/AC5-1</f>
        <v>1.3026487190621605E-3</v>
      </c>
    </row>
    <row r="7" spans="2:30" x14ac:dyDescent="0.3">
      <c r="B7" s="52" t="s">
        <v>893</v>
      </c>
      <c r="C7" s="52" t="s">
        <v>894</v>
      </c>
      <c r="D7" s="97">
        <v>45663</v>
      </c>
      <c r="E7" s="175">
        <v>110.42</v>
      </c>
      <c r="F7" s="102">
        <f t="shared" si="0"/>
        <v>-3.2845756328282349E-2</v>
      </c>
      <c r="H7" s="97">
        <v>45663</v>
      </c>
      <c r="I7" s="175">
        <v>23616.05</v>
      </c>
      <c r="J7" s="102">
        <f t="shared" si="1"/>
        <v>-1.6192628542267662E-2</v>
      </c>
      <c r="N7" s="111">
        <f>_xlfn.COVARIANCE.S(F5:F252,J$5:J$252)/_xlfn.VAR.S(J$5:J$252)</f>
        <v>1.6202960323556337</v>
      </c>
      <c r="O7" s="112"/>
      <c r="P7" s="97">
        <v>45663</v>
      </c>
      <c r="Q7" s="175">
        <v>939.35</v>
      </c>
      <c r="R7" s="102">
        <f t="shared" si="2"/>
        <v>-1.9314088844808674E-2</v>
      </c>
      <c r="T7" s="97">
        <v>45663</v>
      </c>
      <c r="U7" s="175">
        <v>42.13</v>
      </c>
      <c r="V7" s="102">
        <f t="shared" si="3"/>
        <v>-3.015653775322269E-2</v>
      </c>
      <c r="X7" s="97">
        <v>45663</v>
      </c>
      <c r="Y7" s="175">
        <v>900.9</v>
      </c>
      <c r="Z7" s="102">
        <f>Y7/Y6-1</f>
        <v>-1.5463635866892478E-2</v>
      </c>
      <c r="AA7" s="178"/>
      <c r="AB7" s="97">
        <v>45663</v>
      </c>
      <c r="AC7" s="175">
        <v>132.18</v>
      </c>
      <c r="AD7" s="102">
        <f t="shared" si="4"/>
        <v>-4.4666088464874298E-2</v>
      </c>
    </row>
    <row r="8" spans="2:30" x14ac:dyDescent="0.3">
      <c r="B8" s="52" t="s">
        <v>893</v>
      </c>
      <c r="C8" s="52" t="s">
        <v>894</v>
      </c>
      <c r="D8" s="97">
        <v>45664</v>
      </c>
      <c r="E8" s="175">
        <v>111.47</v>
      </c>
      <c r="F8" s="102">
        <f t="shared" si="0"/>
        <v>9.509146893678766E-3</v>
      </c>
      <c r="H8" s="97">
        <v>45664</v>
      </c>
      <c r="I8" s="175">
        <v>23707.9</v>
      </c>
      <c r="J8" s="102">
        <f t="shared" si="1"/>
        <v>3.8893040961549552E-3</v>
      </c>
      <c r="L8" s="110" t="s">
        <v>820</v>
      </c>
      <c r="P8" s="97">
        <v>45664</v>
      </c>
      <c r="Q8" s="175">
        <v>941.45</v>
      </c>
      <c r="R8" s="102">
        <f t="shared" si="2"/>
        <v>2.2355884388141067E-3</v>
      </c>
      <c r="T8" s="97">
        <v>45664</v>
      </c>
      <c r="U8" s="175">
        <v>42.81</v>
      </c>
      <c r="V8" s="102">
        <f t="shared" si="3"/>
        <v>1.6140517446000535E-2</v>
      </c>
      <c r="X8" s="97">
        <v>45664</v>
      </c>
      <c r="Y8" s="175">
        <v>911.8</v>
      </c>
      <c r="Z8" s="102">
        <f>Y8/Y7-1</f>
        <v>1.2099012099012096E-2</v>
      </c>
      <c r="AA8" s="178"/>
      <c r="AB8" s="97">
        <v>45664</v>
      </c>
      <c r="AC8" s="175">
        <v>133.38</v>
      </c>
      <c r="AD8" s="102">
        <f t="shared" si="4"/>
        <v>9.0785292782569194E-3</v>
      </c>
    </row>
    <row r="9" spans="2:30" x14ac:dyDescent="0.3">
      <c r="B9" s="52" t="s">
        <v>893</v>
      </c>
      <c r="C9" s="52" t="s">
        <v>894</v>
      </c>
      <c r="D9" s="97">
        <v>45665</v>
      </c>
      <c r="E9" s="175">
        <v>109.76</v>
      </c>
      <c r="F9" s="102">
        <f t="shared" si="0"/>
        <v>-1.5340450345384338E-2</v>
      </c>
      <c r="H9" s="97">
        <v>45665</v>
      </c>
      <c r="I9" s="175">
        <v>23688.95</v>
      </c>
      <c r="J9" s="102">
        <f t="shared" si="1"/>
        <v>-7.9931162186441806E-4</v>
      </c>
      <c r="P9" s="97">
        <v>45665</v>
      </c>
      <c r="Q9" s="175">
        <v>942.55</v>
      </c>
      <c r="R9" s="102">
        <f t="shared" si="2"/>
        <v>1.1684104307185805E-3</v>
      </c>
      <c r="T9" s="97">
        <v>45665</v>
      </c>
      <c r="U9" s="175">
        <v>42.15</v>
      </c>
      <c r="V9" s="102">
        <f t="shared" si="3"/>
        <v>-1.5416958654520085E-2</v>
      </c>
      <c r="X9" s="97">
        <v>45665</v>
      </c>
      <c r="Y9" s="175">
        <v>902.3</v>
      </c>
      <c r="Z9" s="102">
        <f>Y9/Y8-1</f>
        <v>-1.0418951524457154E-2</v>
      </c>
      <c r="AA9" s="178"/>
      <c r="AB9" s="97">
        <v>45665</v>
      </c>
      <c r="AC9" s="175">
        <v>132.63999999999999</v>
      </c>
      <c r="AD9" s="102">
        <f t="shared" si="4"/>
        <v>-5.5480581796372164E-3</v>
      </c>
    </row>
    <row r="10" spans="2:30" x14ac:dyDescent="0.3">
      <c r="B10" s="52" t="s">
        <v>893</v>
      </c>
      <c r="C10" s="52" t="s">
        <v>894</v>
      </c>
      <c r="D10" s="97">
        <v>45666</v>
      </c>
      <c r="E10" s="175">
        <v>108.26</v>
      </c>
      <c r="F10" s="102">
        <f t="shared" si="0"/>
        <v>-1.366618075801751E-2</v>
      </c>
      <c r="H10" s="97">
        <v>45666</v>
      </c>
      <c r="I10" s="175">
        <v>23526.5</v>
      </c>
      <c r="J10" s="102">
        <f t="shared" si="1"/>
        <v>-6.8576277124988705E-3</v>
      </c>
      <c r="N10" s="136" t="s">
        <v>820</v>
      </c>
      <c r="P10" s="97">
        <v>45666</v>
      </c>
      <c r="Q10" s="175">
        <v>931.55</v>
      </c>
      <c r="R10" s="102">
        <f t="shared" si="2"/>
        <v>-1.1670468410163948E-2</v>
      </c>
      <c r="T10" s="97">
        <v>45666</v>
      </c>
      <c r="U10" s="175">
        <v>41.71</v>
      </c>
      <c r="V10" s="102">
        <f t="shared" si="3"/>
        <v>-1.0438908659549218E-2</v>
      </c>
      <c r="X10" s="97">
        <v>45666</v>
      </c>
      <c r="Y10" s="175">
        <v>890.95</v>
      </c>
      <c r="Z10" s="102">
        <f>Y10/Y9-1</f>
        <v>-1.2578964867560605E-2</v>
      </c>
      <c r="AA10" s="178"/>
      <c r="AB10" s="97">
        <v>45666</v>
      </c>
      <c r="AC10" s="175">
        <v>129.93</v>
      </c>
      <c r="AD10" s="102">
        <f t="shared" si="4"/>
        <v>-2.0431242460795973E-2</v>
      </c>
    </row>
    <row r="11" spans="2:30" x14ac:dyDescent="0.3">
      <c r="B11" s="52" t="s">
        <v>893</v>
      </c>
      <c r="C11" s="52" t="s">
        <v>894</v>
      </c>
      <c r="D11" s="97">
        <v>45667</v>
      </c>
      <c r="E11" s="175">
        <v>106.03</v>
      </c>
      <c r="F11" s="102">
        <f t="shared" si="0"/>
        <v>-2.0598559024570529E-2</v>
      </c>
      <c r="H11" s="97">
        <v>45667</v>
      </c>
      <c r="I11" s="175">
        <v>23431.5</v>
      </c>
      <c r="J11" s="102">
        <f t="shared" si="1"/>
        <v>-4.037999702463213E-3</v>
      </c>
      <c r="L11" s="168" t="s">
        <v>955</v>
      </c>
      <c r="M11" s="168"/>
      <c r="N11" s="111">
        <f>SLOPE(R5:R252,J5:J252)</f>
        <v>1.3021318872157153</v>
      </c>
      <c r="O11" s="112" t="s">
        <v>907</v>
      </c>
      <c r="P11" s="97">
        <v>45667</v>
      </c>
      <c r="Q11" s="175">
        <v>917.7</v>
      </c>
      <c r="R11" s="102">
        <f t="shared" si="2"/>
        <v>-1.4867693628897949E-2</v>
      </c>
      <c r="T11" s="97">
        <v>45667</v>
      </c>
      <c r="U11" s="175">
        <v>40.71</v>
      </c>
      <c r="V11" s="102">
        <f t="shared" si="3"/>
        <v>-2.3975065931431283E-2</v>
      </c>
      <c r="X11" s="97">
        <v>45667</v>
      </c>
      <c r="Y11" s="175">
        <v>900.1</v>
      </c>
      <c r="Z11" s="102">
        <f>Y11/Y10-1</f>
        <v>1.026993658454467E-2</v>
      </c>
      <c r="AA11" s="178"/>
      <c r="AB11" s="97">
        <v>45667</v>
      </c>
      <c r="AC11" s="175">
        <v>127.43</v>
      </c>
      <c r="AD11" s="102">
        <f t="shared" si="4"/>
        <v>-1.9241129839144167E-2</v>
      </c>
    </row>
    <row r="12" spans="2:30" x14ac:dyDescent="0.3">
      <c r="B12" s="52" t="s">
        <v>893</v>
      </c>
      <c r="C12" s="52" t="s">
        <v>894</v>
      </c>
      <c r="D12" s="97">
        <v>45670</v>
      </c>
      <c r="E12" s="175">
        <v>100.09</v>
      </c>
      <c r="F12" s="102">
        <f t="shared" si="0"/>
        <v>-5.6021880599830265E-2</v>
      </c>
      <c r="H12" s="97">
        <v>45670</v>
      </c>
      <c r="I12" s="175">
        <v>23085.95</v>
      </c>
      <c r="J12" s="102">
        <f t="shared" si="1"/>
        <v>-1.4747241960608504E-2</v>
      </c>
      <c r="N12" s="111">
        <f>_xlfn.COVARIANCE.S(R5:R252,J$5:J$252)/_xlfn.VAR.S($J5:J$252)</f>
        <v>1.3021318872157157</v>
      </c>
      <c r="O12" s="112"/>
      <c r="P12" s="97">
        <v>45670</v>
      </c>
      <c r="Q12" s="175">
        <v>876.7</v>
      </c>
      <c r="R12" s="102">
        <f t="shared" si="2"/>
        <v>-4.4676909665468001E-2</v>
      </c>
      <c r="T12" s="97">
        <v>45670</v>
      </c>
      <c r="U12" s="175">
        <v>38.47</v>
      </c>
      <c r="V12" s="102">
        <f t="shared" si="3"/>
        <v>-5.5023335789732286E-2</v>
      </c>
      <c r="X12" s="97">
        <v>45670</v>
      </c>
      <c r="Y12" s="175">
        <v>883.75</v>
      </c>
      <c r="Z12" s="102">
        <f>Y12/Y11-1</f>
        <v>-1.8164648372403058E-2</v>
      </c>
      <c r="AA12" s="178"/>
      <c r="AB12" s="97">
        <v>45670</v>
      </c>
      <c r="AC12" s="175">
        <v>122.93</v>
      </c>
      <c r="AD12" s="102">
        <f t="shared" si="4"/>
        <v>-3.5313505453974714E-2</v>
      </c>
    </row>
    <row r="13" spans="2:30" x14ac:dyDescent="0.3">
      <c r="B13" s="52" t="s">
        <v>893</v>
      </c>
      <c r="C13" s="52" t="s">
        <v>894</v>
      </c>
      <c r="D13" s="97">
        <v>45671</v>
      </c>
      <c r="E13" s="175">
        <v>105.88</v>
      </c>
      <c r="F13" s="102">
        <f t="shared" si="0"/>
        <v>5.7847936856828763E-2</v>
      </c>
      <c r="H13" s="97">
        <v>45671</v>
      </c>
      <c r="I13" s="175">
        <v>23176.05</v>
      </c>
      <c r="J13" s="102">
        <f t="shared" si="1"/>
        <v>3.9028066854513987E-3</v>
      </c>
      <c r="P13" s="97">
        <v>45671</v>
      </c>
      <c r="Q13" s="175">
        <v>909.9</v>
      </c>
      <c r="R13" s="102">
        <f t="shared" si="2"/>
        <v>3.7869282536785676E-2</v>
      </c>
      <c r="T13" s="97">
        <v>45671</v>
      </c>
      <c r="U13" s="175">
        <v>40.840000000000003</v>
      </c>
      <c r="V13" s="102">
        <f t="shared" si="3"/>
        <v>6.1606446581752072E-2</v>
      </c>
      <c r="X13" s="97">
        <v>45671</v>
      </c>
      <c r="Y13" s="175">
        <v>906.05</v>
      </c>
      <c r="Z13" s="102">
        <f>Y13/Y12-1</f>
        <v>2.5233380480905288E-2</v>
      </c>
      <c r="AA13" s="178"/>
      <c r="AB13" s="97">
        <v>45671</v>
      </c>
      <c r="AC13" s="175">
        <v>126.93</v>
      </c>
      <c r="AD13" s="102">
        <f t="shared" si="4"/>
        <v>3.2538843244122706E-2</v>
      </c>
    </row>
    <row r="14" spans="2:30" x14ac:dyDescent="0.3">
      <c r="B14" s="52" t="s">
        <v>893</v>
      </c>
      <c r="C14" s="52" t="s">
        <v>894</v>
      </c>
      <c r="D14" s="97">
        <v>45672</v>
      </c>
      <c r="E14" s="175">
        <v>105.21</v>
      </c>
      <c r="F14" s="102">
        <f t="shared" si="0"/>
        <v>-6.3279183981866938E-3</v>
      </c>
      <c r="H14" s="97">
        <v>45672</v>
      </c>
      <c r="I14" s="175">
        <v>23213.200000000001</v>
      </c>
      <c r="J14" s="102">
        <f t="shared" si="1"/>
        <v>1.6029478707546563E-3</v>
      </c>
      <c r="P14" s="97">
        <v>45672</v>
      </c>
      <c r="Q14" s="175">
        <v>910.25</v>
      </c>
      <c r="R14" s="102">
        <f t="shared" si="2"/>
        <v>3.8465765468731483E-4</v>
      </c>
      <c r="T14" s="97">
        <v>45672</v>
      </c>
      <c r="U14" s="175">
        <v>41</v>
      </c>
      <c r="V14" s="102">
        <f t="shared" si="3"/>
        <v>3.9177277179234249E-3</v>
      </c>
      <c r="X14" s="97">
        <v>45672</v>
      </c>
      <c r="Y14" s="175">
        <v>904.05</v>
      </c>
      <c r="Z14" s="102">
        <f>Y14/Y13-1</f>
        <v>-2.207383698471399E-3</v>
      </c>
      <c r="AA14" s="178"/>
      <c r="AB14" s="97">
        <v>45672</v>
      </c>
      <c r="AC14" s="175">
        <v>126.53</v>
      </c>
      <c r="AD14" s="102">
        <f t="shared" si="4"/>
        <v>-3.1513432600646096E-3</v>
      </c>
    </row>
    <row r="15" spans="2:30" x14ac:dyDescent="0.3">
      <c r="B15" s="52" t="s">
        <v>893</v>
      </c>
      <c r="C15" s="52" t="s">
        <v>894</v>
      </c>
      <c r="D15" s="97">
        <v>45673</v>
      </c>
      <c r="E15" s="175">
        <v>107.52</v>
      </c>
      <c r="F15" s="102">
        <f t="shared" si="0"/>
        <v>2.1956087824351211E-2</v>
      </c>
      <c r="H15" s="97">
        <v>45673</v>
      </c>
      <c r="I15" s="175">
        <v>23311.8</v>
      </c>
      <c r="J15" s="102">
        <f t="shared" si="1"/>
        <v>4.2475832715866968E-3</v>
      </c>
      <c r="L15" s="168" t="s">
        <v>954</v>
      </c>
      <c r="M15" s="168"/>
      <c r="N15" s="111">
        <f>SLOPE(V5:V252,J$5:J$252)</f>
        <v>1.5007838639500646</v>
      </c>
      <c r="O15" s="112" t="s">
        <v>907</v>
      </c>
      <c r="P15" s="97">
        <v>45673</v>
      </c>
      <c r="Q15" s="175">
        <v>917.85</v>
      </c>
      <c r="R15" s="102">
        <f t="shared" si="2"/>
        <v>8.3493545729196317E-3</v>
      </c>
      <c r="T15" s="97">
        <v>45673</v>
      </c>
      <c r="U15" s="175">
        <v>41.59</v>
      </c>
      <c r="V15" s="102">
        <f t="shared" si="3"/>
        <v>1.4390243902439037E-2</v>
      </c>
      <c r="X15" s="97">
        <v>45673</v>
      </c>
      <c r="Y15" s="175">
        <v>906.8</v>
      </c>
      <c r="Z15" s="102">
        <f>Y15/Y14-1</f>
        <v>3.0418671533654074E-3</v>
      </c>
      <c r="AA15" s="178"/>
      <c r="AB15" s="97">
        <v>45673</v>
      </c>
      <c r="AC15" s="175">
        <v>127.81</v>
      </c>
      <c r="AD15" s="102">
        <f t="shared" si="4"/>
        <v>1.0116177981506436E-2</v>
      </c>
    </row>
    <row r="16" spans="2:30" x14ac:dyDescent="0.3">
      <c r="B16" s="52" t="s">
        <v>893</v>
      </c>
      <c r="C16" s="52" t="s">
        <v>894</v>
      </c>
      <c r="D16" s="97">
        <v>45674</v>
      </c>
      <c r="E16" s="175">
        <v>108.82</v>
      </c>
      <c r="F16" s="102">
        <f t="shared" si="0"/>
        <v>1.2090773809523725E-2</v>
      </c>
      <c r="H16" s="97">
        <v>45674</v>
      </c>
      <c r="I16" s="175">
        <v>23203.200000000001</v>
      </c>
      <c r="J16" s="102">
        <f t="shared" si="1"/>
        <v>-4.6585849226571385E-3</v>
      </c>
      <c r="N16" s="111">
        <f>_xlfn.COVARIANCE.S(V5:V252,J$5:J$252)/_xlfn.VAR.S(J$5:J$252)</f>
        <v>1.500783863950065</v>
      </c>
      <c r="O16" s="112"/>
      <c r="P16" s="97">
        <v>45674</v>
      </c>
      <c r="Q16" s="175">
        <v>924.65</v>
      </c>
      <c r="R16" s="102">
        <f t="shared" si="2"/>
        <v>7.4086179658985341E-3</v>
      </c>
      <c r="T16" s="97">
        <v>45674</v>
      </c>
      <c r="U16" s="175">
        <v>41.61</v>
      </c>
      <c r="V16" s="102">
        <f t="shared" si="3"/>
        <v>4.8088482808350541E-4</v>
      </c>
      <c r="X16" s="97">
        <v>45674</v>
      </c>
      <c r="Y16" s="175">
        <v>908.6</v>
      </c>
      <c r="Z16" s="102">
        <f>Y16/Y15-1</f>
        <v>1.985002205558084E-3</v>
      </c>
      <c r="AA16" s="178"/>
      <c r="AB16" s="97">
        <v>45674</v>
      </c>
      <c r="AC16" s="175">
        <v>130.28</v>
      </c>
      <c r="AD16" s="102">
        <f t="shared" si="4"/>
        <v>1.9325561380173717E-2</v>
      </c>
    </row>
    <row r="17" spans="2:30" x14ac:dyDescent="0.3">
      <c r="B17" s="52" t="s">
        <v>893</v>
      </c>
      <c r="C17" s="52" t="s">
        <v>894</v>
      </c>
      <c r="D17" s="97">
        <v>45677</v>
      </c>
      <c r="E17" s="175">
        <v>109.87</v>
      </c>
      <c r="F17" s="102">
        <f t="shared" si="0"/>
        <v>9.6489615879435942E-3</v>
      </c>
      <c r="H17" s="97">
        <v>45677</v>
      </c>
      <c r="I17" s="175">
        <v>23344.75</v>
      </c>
      <c r="J17" s="102">
        <f t="shared" si="1"/>
        <v>6.1004516618397009E-3</v>
      </c>
      <c r="P17" s="97">
        <v>45677</v>
      </c>
      <c r="Q17" s="175">
        <v>933.8</v>
      </c>
      <c r="R17" s="102">
        <f t="shared" si="2"/>
        <v>9.8956361866651132E-3</v>
      </c>
      <c r="T17" s="97">
        <v>45677</v>
      </c>
      <c r="U17" s="175">
        <v>42.15</v>
      </c>
      <c r="V17" s="102">
        <f t="shared" si="3"/>
        <v>1.2977649603460595E-2</v>
      </c>
      <c r="X17" s="97">
        <v>45677</v>
      </c>
      <c r="Y17" s="175">
        <v>919.2</v>
      </c>
      <c r="Z17" s="102">
        <f>Y17/Y16-1</f>
        <v>1.1666299801893043E-2</v>
      </c>
      <c r="AA17" s="178"/>
      <c r="AB17" s="97">
        <v>45677</v>
      </c>
      <c r="AC17" s="175">
        <v>131.66</v>
      </c>
      <c r="AD17" s="102">
        <f t="shared" si="4"/>
        <v>1.0592569849554812E-2</v>
      </c>
    </row>
    <row r="18" spans="2:30" x14ac:dyDescent="0.3">
      <c r="B18" s="52" t="s">
        <v>893</v>
      </c>
      <c r="C18" s="52" t="s">
        <v>894</v>
      </c>
      <c r="D18" s="97">
        <v>45678</v>
      </c>
      <c r="E18" s="175">
        <v>109.88</v>
      </c>
      <c r="F18" s="102">
        <f t="shared" si="0"/>
        <v>9.1016656047937516E-5</v>
      </c>
      <c r="H18" s="97">
        <v>45678</v>
      </c>
      <c r="I18" s="175">
        <v>23024.65</v>
      </c>
      <c r="J18" s="102">
        <f t="shared" si="1"/>
        <v>-1.3711862410177855E-2</v>
      </c>
      <c r="P18" s="97">
        <v>45678</v>
      </c>
      <c r="Q18" s="175">
        <v>918.9</v>
      </c>
      <c r="R18" s="102">
        <f t="shared" si="2"/>
        <v>-1.5956307560505478E-2</v>
      </c>
      <c r="T18" s="97">
        <v>45678</v>
      </c>
      <c r="U18" s="175">
        <v>41.29</v>
      </c>
      <c r="V18" s="102">
        <f t="shared" si="3"/>
        <v>-2.0403321470937152E-2</v>
      </c>
      <c r="X18" s="97">
        <v>45678</v>
      </c>
      <c r="Y18" s="175">
        <v>926.85</v>
      </c>
      <c r="Z18" s="102">
        <f>Y18/Y17-1</f>
        <v>8.3224543080939739E-3</v>
      </c>
      <c r="AA18" s="178"/>
      <c r="AB18" s="97">
        <v>45678</v>
      </c>
      <c r="AC18" s="175">
        <v>129.69999999999999</v>
      </c>
      <c r="AD18" s="102">
        <f t="shared" si="4"/>
        <v>-1.4886829712896898E-2</v>
      </c>
    </row>
    <row r="19" spans="2:30" x14ac:dyDescent="0.3">
      <c r="B19" s="52" t="s">
        <v>893</v>
      </c>
      <c r="C19" s="52" t="s">
        <v>894</v>
      </c>
      <c r="D19" s="97">
        <v>45679</v>
      </c>
      <c r="E19" s="175">
        <v>107.1</v>
      </c>
      <c r="F19" s="102">
        <f t="shared" si="0"/>
        <v>-2.5300327630142005E-2</v>
      </c>
      <c r="H19" s="97">
        <v>45679</v>
      </c>
      <c r="I19" s="175">
        <v>23155.35</v>
      </c>
      <c r="J19" s="102">
        <f t="shared" si="1"/>
        <v>5.6765249417471964E-3</v>
      </c>
      <c r="L19" s="168" t="s">
        <v>953</v>
      </c>
      <c r="M19" s="168"/>
      <c r="N19" s="111">
        <f>SLOPE(Z5:Z252,J5:J252)</f>
        <v>1.2649216500885889</v>
      </c>
      <c r="O19" s="112" t="s">
        <v>907</v>
      </c>
      <c r="P19" s="97">
        <v>45679</v>
      </c>
      <c r="Q19" s="175">
        <v>896.8</v>
      </c>
      <c r="R19" s="102">
        <f t="shared" si="2"/>
        <v>-2.4050495157253216E-2</v>
      </c>
      <c r="T19" s="97">
        <v>45679</v>
      </c>
      <c r="U19" s="175">
        <v>40.51</v>
      </c>
      <c r="V19" s="102">
        <f t="shared" si="3"/>
        <v>-1.8890772584160831E-2</v>
      </c>
      <c r="X19" s="97">
        <v>45679</v>
      </c>
      <c r="Y19" s="175">
        <v>919.4</v>
      </c>
      <c r="Z19" s="102">
        <f>Y19/Y18-1</f>
        <v>-8.0379780978583337E-3</v>
      </c>
      <c r="AA19" s="178"/>
      <c r="AB19" s="97">
        <v>45679</v>
      </c>
      <c r="AC19" s="175">
        <v>128.91999999999999</v>
      </c>
      <c r="AD19" s="102">
        <f t="shared" si="4"/>
        <v>-6.0138781804163211E-3</v>
      </c>
    </row>
    <row r="20" spans="2:30" x14ac:dyDescent="0.3">
      <c r="B20" s="52" t="s">
        <v>893</v>
      </c>
      <c r="C20" s="52" t="s">
        <v>894</v>
      </c>
      <c r="D20" s="97">
        <v>45680</v>
      </c>
      <c r="E20" s="175">
        <v>109.14</v>
      </c>
      <c r="F20" s="102">
        <f t="shared" si="0"/>
        <v>1.9047619047619202E-2</v>
      </c>
      <c r="H20" s="97">
        <v>45680</v>
      </c>
      <c r="I20" s="175">
        <v>23205.35</v>
      </c>
      <c r="J20" s="102">
        <f t="shared" si="1"/>
        <v>2.1593281898135697E-3</v>
      </c>
      <c r="N20" s="111">
        <f>_xlfn.COVARIANCE.S(Z5:Z252,J$5:J$252)/_xlfn.VAR.S(J$5:J$252)</f>
        <v>1.2649216500885894</v>
      </c>
      <c r="O20" s="112"/>
      <c r="P20" s="97">
        <v>45680</v>
      </c>
      <c r="Q20" s="175">
        <v>893</v>
      </c>
      <c r="R20" s="102">
        <f t="shared" si="2"/>
        <v>-4.237288135593209E-3</v>
      </c>
      <c r="T20" s="97">
        <v>45680</v>
      </c>
      <c r="U20" s="175">
        <v>40.5</v>
      </c>
      <c r="V20" s="102">
        <f t="shared" si="3"/>
        <v>-2.4685262898049842E-4</v>
      </c>
      <c r="X20" s="97">
        <v>45680</v>
      </c>
      <c r="Y20" s="175">
        <v>929.9</v>
      </c>
      <c r="Z20" s="102">
        <f>Y20/Y19-1</f>
        <v>1.1420491624972717E-2</v>
      </c>
      <c r="AA20" s="178"/>
      <c r="AB20" s="97">
        <v>45680</v>
      </c>
      <c r="AC20" s="175">
        <v>130.37</v>
      </c>
      <c r="AD20" s="102">
        <f t="shared" si="4"/>
        <v>1.1247285138070273E-2</v>
      </c>
    </row>
    <row r="21" spans="2:30" x14ac:dyDescent="0.3">
      <c r="B21" s="52" t="s">
        <v>893</v>
      </c>
      <c r="C21" s="52" t="s">
        <v>894</v>
      </c>
      <c r="D21" s="97">
        <v>45681</v>
      </c>
      <c r="E21" s="175">
        <v>108.17</v>
      </c>
      <c r="F21" s="102">
        <f t="shared" si="0"/>
        <v>-8.8876672164193149E-3</v>
      </c>
      <c r="H21" s="97">
        <v>45681</v>
      </c>
      <c r="I21" s="175">
        <v>23092.2</v>
      </c>
      <c r="J21" s="102">
        <f t="shared" si="1"/>
        <v>-4.876030742910431E-3</v>
      </c>
      <c r="P21" s="97">
        <v>45681</v>
      </c>
      <c r="Q21" s="175">
        <v>882.8</v>
      </c>
      <c r="R21" s="102">
        <f t="shared" si="2"/>
        <v>-1.142217245240762E-2</v>
      </c>
      <c r="T21" s="97">
        <v>45681</v>
      </c>
      <c r="U21" s="175">
        <v>39.840000000000003</v>
      </c>
      <c r="V21" s="102">
        <f t="shared" si="3"/>
        <v>-1.6296296296296253E-2</v>
      </c>
      <c r="X21" s="97">
        <v>45681</v>
      </c>
      <c r="Y21" s="175">
        <v>932.45</v>
      </c>
      <c r="Z21" s="102">
        <f>Y21/Y20-1</f>
        <v>2.7422303473492171E-3</v>
      </c>
      <c r="AA21" s="178"/>
      <c r="AB21" s="97">
        <v>45681</v>
      </c>
      <c r="AC21" s="175">
        <v>129.74</v>
      </c>
      <c r="AD21" s="102">
        <f t="shared" si="4"/>
        <v>-4.8324000920456633E-3</v>
      </c>
    </row>
    <row r="22" spans="2:30" x14ac:dyDescent="0.3">
      <c r="B22" s="52" t="s">
        <v>893</v>
      </c>
      <c r="C22" s="52" t="s">
        <v>894</v>
      </c>
      <c r="D22" s="97">
        <v>45684</v>
      </c>
      <c r="E22" s="175">
        <v>103.43</v>
      </c>
      <c r="F22" s="102">
        <f t="shared" si="0"/>
        <v>-4.3819913099750307E-2</v>
      </c>
      <c r="H22" s="97">
        <v>45684</v>
      </c>
      <c r="I22" s="175">
        <v>22829.15</v>
      </c>
      <c r="J22" s="102">
        <f t="shared" si="1"/>
        <v>-1.139129229783209E-2</v>
      </c>
      <c r="P22" s="97">
        <v>45684</v>
      </c>
      <c r="Q22" s="175">
        <v>842.65</v>
      </c>
      <c r="R22" s="102">
        <f t="shared" si="2"/>
        <v>-4.5480289986406852E-2</v>
      </c>
      <c r="T22" s="97">
        <v>45684</v>
      </c>
      <c r="U22" s="175">
        <v>38.25</v>
      </c>
      <c r="V22" s="102">
        <f t="shared" si="3"/>
        <v>-3.990963855421692E-2</v>
      </c>
      <c r="X22" s="97">
        <v>45684</v>
      </c>
      <c r="Y22" s="175">
        <v>919.35</v>
      </c>
      <c r="Z22" s="102">
        <f>Y22/Y21-1</f>
        <v>-1.4049010670813433E-2</v>
      </c>
      <c r="AA22" s="178"/>
      <c r="AB22" s="97">
        <v>45684</v>
      </c>
      <c r="AC22" s="175">
        <v>126.37</v>
      </c>
      <c r="AD22" s="102">
        <f t="shared" si="4"/>
        <v>-2.5975026977031024E-2</v>
      </c>
    </row>
    <row r="23" spans="2:30" x14ac:dyDescent="0.3">
      <c r="B23" s="52" t="s">
        <v>893</v>
      </c>
      <c r="C23" s="52" t="s">
        <v>894</v>
      </c>
      <c r="D23" s="97">
        <v>45685</v>
      </c>
      <c r="E23" s="175">
        <v>102.84</v>
      </c>
      <c r="F23" s="102">
        <f t="shared" si="0"/>
        <v>-5.7043411002610789E-3</v>
      </c>
      <c r="H23" s="97">
        <v>45685</v>
      </c>
      <c r="I23" s="175">
        <v>22957.25</v>
      </c>
      <c r="J23" s="102">
        <f t="shared" si="1"/>
        <v>5.6112470240896606E-3</v>
      </c>
      <c r="P23" s="97">
        <v>45685</v>
      </c>
      <c r="Q23" s="175">
        <v>841.1</v>
      </c>
      <c r="R23" s="102">
        <f t="shared" si="2"/>
        <v>-1.8394351154096267E-3</v>
      </c>
      <c r="T23" s="97">
        <v>45685</v>
      </c>
      <c r="U23" s="175">
        <v>38.15</v>
      </c>
      <c r="V23" s="102">
        <f t="shared" si="3"/>
        <v>-2.614379084967311E-3</v>
      </c>
      <c r="X23" s="97">
        <v>45685</v>
      </c>
      <c r="Y23" s="175">
        <v>916.15</v>
      </c>
      <c r="Z23" s="102">
        <f>Y23/Y22-1</f>
        <v>-3.4807200739653821E-3</v>
      </c>
      <c r="AA23" s="178"/>
      <c r="AB23" s="97">
        <v>45685</v>
      </c>
      <c r="AC23" s="175">
        <v>128.62</v>
      </c>
      <c r="AD23" s="102">
        <f t="shared" si="4"/>
        <v>1.7804858748120544E-2</v>
      </c>
    </row>
    <row r="24" spans="2:30" x14ac:dyDescent="0.3">
      <c r="B24" s="52" t="s">
        <v>893</v>
      </c>
      <c r="C24" s="52" t="s">
        <v>894</v>
      </c>
      <c r="D24" s="97">
        <v>45686</v>
      </c>
      <c r="E24" s="175">
        <v>104.36</v>
      </c>
      <c r="F24" s="102">
        <f t="shared" si="0"/>
        <v>1.4780241151302942E-2</v>
      </c>
      <c r="H24" s="97">
        <v>45686</v>
      </c>
      <c r="I24" s="175">
        <v>23163.1</v>
      </c>
      <c r="J24" s="102">
        <f t="shared" si="1"/>
        <v>8.9666663036731542E-3</v>
      </c>
      <c r="L24" s="168" t="s">
        <v>952</v>
      </c>
      <c r="M24" s="168"/>
      <c r="N24" s="111">
        <f>SLOPE(AD5:AD252,J$5:J$252)</f>
        <v>1.4583884806440011</v>
      </c>
      <c r="O24" s="112" t="s">
        <v>907</v>
      </c>
      <c r="P24" s="97">
        <v>45686</v>
      </c>
      <c r="Q24" s="175">
        <v>849</v>
      </c>
      <c r="R24" s="102">
        <f t="shared" si="2"/>
        <v>9.3924622518131162E-3</v>
      </c>
      <c r="T24" s="97">
        <v>45686</v>
      </c>
      <c r="U24" s="175">
        <v>41.37</v>
      </c>
      <c r="V24" s="102">
        <f t="shared" si="3"/>
        <v>8.4403669724770536E-2</v>
      </c>
      <c r="X24" s="97">
        <v>45686</v>
      </c>
      <c r="Y24" s="175">
        <v>937.6</v>
      </c>
      <c r="Z24" s="102">
        <f>Y24/Y23-1</f>
        <v>2.3413196528952795E-2</v>
      </c>
      <c r="AA24" s="178"/>
      <c r="AB24" s="97">
        <v>45686</v>
      </c>
      <c r="AC24" s="175">
        <v>130.80000000000001</v>
      </c>
      <c r="AD24" s="102">
        <f t="shared" si="4"/>
        <v>1.6949152542372836E-2</v>
      </c>
    </row>
    <row r="25" spans="2:30" x14ac:dyDescent="0.3">
      <c r="B25" s="52" t="s">
        <v>893</v>
      </c>
      <c r="C25" s="52" t="s">
        <v>894</v>
      </c>
      <c r="D25" s="97">
        <v>45687</v>
      </c>
      <c r="E25" s="175">
        <v>105.45</v>
      </c>
      <c r="F25" s="102">
        <f t="shared" si="0"/>
        <v>1.0444614794940632E-2</v>
      </c>
      <c r="H25" s="97">
        <v>45687</v>
      </c>
      <c r="I25" s="175">
        <v>23249.5</v>
      </c>
      <c r="J25" s="102">
        <f t="shared" si="1"/>
        <v>3.7300706727512178E-3</v>
      </c>
      <c r="N25" s="111">
        <f>_xlfn.COVARIANCE.S(AD5:AD252,J$5:J$252)/_xlfn.VAR.S(J$5:J$252)</f>
        <v>1.4583884806440013</v>
      </c>
      <c r="O25" s="112"/>
      <c r="P25" s="97">
        <v>45687</v>
      </c>
      <c r="Q25" s="175">
        <v>840.05</v>
      </c>
      <c r="R25" s="102">
        <f t="shared" si="2"/>
        <v>-1.0541813898704455E-2</v>
      </c>
      <c r="T25" s="97">
        <v>45687</v>
      </c>
      <c r="U25" s="175">
        <v>40.67</v>
      </c>
      <c r="V25" s="102">
        <f t="shared" si="3"/>
        <v>-1.6920473773265554E-2</v>
      </c>
      <c r="X25" s="97">
        <v>45687</v>
      </c>
      <c r="Y25" s="175">
        <v>950.85</v>
      </c>
      <c r="Z25" s="102">
        <f>Y25/Y24-1</f>
        <v>1.4131825938566545E-2</v>
      </c>
      <c r="AA25" s="178"/>
      <c r="AB25" s="97">
        <v>45687</v>
      </c>
      <c r="AC25" s="175">
        <v>131.12</v>
      </c>
      <c r="AD25" s="102">
        <f t="shared" si="4"/>
        <v>2.4464831804280607E-3</v>
      </c>
    </row>
    <row r="26" spans="2:30" x14ac:dyDescent="0.3">
      <c r="B26" s="52" t="s">
        <v>893</v>
      </c>
      <c r="C26" s="52" t="s">
        <v>894</v>
      </c>
      <c r="D26" s="97">
        <v>45688</v>
      </c>
      <c r="E26" s="175">
        <v>107.43</v>
      </c>
      <c r="F26" s="102">
        <f t="shared" si="0"/>
        <v>1.8776671408250456E-2</v>
      </c>
      <c r="H26" s="97">
        <v>45688</v>
      </c>
      <c r="I26" s="175">
        <v>23508.400000000001</v>
      </c>
      <c r="J26" s="102">
        <f t="shared" si="1"/>
        <v>1.1135723348889348E-2</v>
      </c>
      <c r="P26" s="97">
        <v>45688</v>
      </c>
      <c r="Q26" s="175">
        <v>791.55</v>
      </c>
      <c r="R26" s="102">
        <f t="shared" si="2"/>
        <v>-5.7734658651270809E-2</v>
      </c>
      <c r="T26" s="97">
        <v>45688</v>
      </c>
      <c r="U26" s="175">
        <v>42.14</v>
      </c>
      <c r="V26" s="102">
        <f t="shared" si="3"/>
        <v>3.6144578313253017E-2</v>
      </c>
      <c r="X26" s="97">
        <v>45688</v>
      </c>
      <c r="Y26" s="175">
        <v>945</v>
      </c>
      <c r="Z26" s="102">
        <f>Y26/Y25-1</f>
        <v>-6.1523899668717297E-3</v>
      </c>
      <c r="AA26" s="178"/>
      <c r="AB26" s="97">
        <v>45688</v>
      </c>
      <c r="AC26" s="175">
        <v>134.62</v>
      </c>
      <c r="AD26" s="102">
        <f t="shared" si="4"/>
        <v>2.6693105552165974E-2</v>
      </c>
    </row>
    <row r="27" spans="2:30" x14ac:dyDescent="0.3">
      <c r="B27" s="52" t="s">
        <v>893</v>
      </c>
      <c r="C27" s="52" t="s">
        <v>894</v>
      </c>
      <c r="D27" s="97">
        <v>45689</v>
      </c>
      <c r="E27" s="175">
        <v>106.53</v>
      </c>
      <c r="F27" s="102">
        <f t="shared" si="0"/>
        <v>-8.3775481709020827E-3</v>
      </c>
      <c r="H27" s="97">
        <v>45689</v>
      </c>
      <c r="I27" s="175">
        <v>23482.15</v>
      </c>
      <c r="J27" s="102">
        <f t="shared" si="1"/>
        <v>-1.1166221435742196E-3</v>
      </c>
      <c r="P27" s="97">
        <v>45689</v>
      </c>
      <c r="Q27" s="175">
        <v>776.35</v>
      </c>
      <c r="R27" s="102">
        <f t="shared" si="2"/>
        <v>-1.9202829890720641E-2</v>
      </c>
      <c r="T27" s="97">
        <v>45689</v>
      </c>
      <c r="U27" s="175">
        <v>40.47</v>
      </c>
      <c r="V27" s="102">
        <f t="shared" si="3"/>
        <v>-3.9629805410536401E-2</v>
      </c>
      <c r="X27" s="97">
        <v>45689</v>
      </c>
      <c r="Y27" s="175">
        <v>934.25</v>
      </c>
      <c r="Z27" s="102">
        <f>Y27/Y26-1</f>
        <v>-1.1375661375661372E-2</v>
      </c>
      <c r="AA27" s="178"/>
      <c r="AB27" s="97">
        <v>45689</v>
      </c>
      <c r="AC27" s="175">
        <v>132.97</v>
      </c>
      <c r="AD27" s="102">
        <f t="shared" si="4"/>
        <v>-1.2256722626652894E-2</v>
      </c>
    </row>
    <row r="28" spans="2:30" x14ac:dyDescent="0.3">
      <c r="B28" s="52" t="s">
        <v>893</v>
      </c>
      <c r="C28" s="52" t="s">
        <v>894</v>
      </c>
      <c r="D28" s="97">
        <v>45691</v>
      </c>
      <c r="E28" s="175">
        <v>102.27</v>
      </c>
      <c r="F28" s="102">
        <f t="shared" si="0"/>
        <v>-3.9988735567445866E-2</v>
      </c>
      <c r="H28" s="97">
        <v>45691</v>
      </c>
      <c r="I28" s="175">
        <v>23361.05</v>
      </c>
      <c r="J28" s="102">
        <f t="shared" si="1"/>
        <v>-5.1571086974575575E-3</v>
      </c>
      <c r="P28" s="97">
        <v>45691</v>
      </c>
      <c r="Q28" s="175">
        <v>807.7</v>
      </c>
      <c r="R28" s="102">
        <f t="shared" si="2"/>
        <v>4.0381271333805646E-2</v>
      </c>
      <c r="T28" s="97">
        <v>45691</v>
      </c>
      <c r="U28" s="175">
        <v>39.75</v>
      </c>
      <c r="V28" s="102">
        <f t="shared" si="3"/>
        <v>-1.7790956263899149E-2</v>
      </c>
      <c r="X28" s="97">
        <v>45691</v>
      </c>
      <c r="Y28" s="175">
        <v>933.95</v>
      </c>
      <c r="Z28" s="102">
        <f>Y28/Y27-1</f>
        <v>-3.2111319240024638E-4</v>
      </c>
      <c r="AA28" s="178"/>
      <c r="AB28" s="97">
        <v>45691</v>
      </c>
      <c r="AC28" s="175">
        <v>131.82</v>
      </c>
      <c r="AD28" s="102">
        <f t="shared" si="4"/>
        <v>-8.6485673460179324E-3</v>
      </c>
    </row>
    <row r="29" spans="2:30" x14ac:dyDescent="0.3">
      <c r="B29" s="52" t="s">
        <v>893</v>
      </c>
      <c r="C29" s="52" t="s">
        <v>894</v>
      </c>
      <c r="D29" s="97">
        <v>45692</v>
      </c>
      <c r="E29" s="175">
        <v>106.68</v>
      </c>
      <c r="F29" s="102">
        <f t="shared" si="0"/>
        <v>4.3121149897330735E-2</v>
      </c>
      <c r="H29" s="97">
        <v>45692</v>
      </c>
      <c r="I29" s="175">
        <v>23739.25</v>
      </c>
      <c r="J29" s="102">
        <f t="shared" si="1"/>
        <v>1.6189340804458663E-2</v>
      </c>
      <c r="P29" s="97">
        <v>45692</v>
      </c>
      <c r="Q29" s="175">
        <v>801.6</v>
      </c>
      <c r="R29" s="102">
        <f t="shared" si="2"/>
        <v>-7.5523090256283121E-3</v>
      </c>
      <c r="T29" s="97">
        <v>45692</v>
      </c>
      <c r="U29" s="175">
        <v>40.01</v>
      </c>
      <c r="V29" s="102">
        <f t="shared" si="3"/>
        <v>6.5408805031446082E-3</v>
      </c>
      <c r="X29" s="97">
        <v>45692</v>
      </c>
      <c r="Y29" s="175">
        <v>944.25</v>
      </c>
      <c r="Z29" s="102">
        <f>Y29/Y28-1</f>
        <v>1.1028427646019523E-2</v>
      </c>
      <c r="AA29" s="178"/>
      <c r="AB29" s="97">
        <v>45692</v>
      </c>
      <c r="AC29" s="175">
        <v>133.41999999999999</v>
      </c>
      <c r="AD29" s="102">
        <f t="shared" si="4"/>
        <v>1.2137763617053432E-2</v>
      </c>
    </row>
    <row r="30" spans="2:30" x14ac:dyDescent="0.3">
      <c r="B30" s="52" t="s">
        <v>893</v>
      </c>
      <c r="C30" s="52" t="s">
        <v>894</v>
      </c>
      <c r="D30" s="97">
        <v>45693</v>
      </c>
      <c r="E30" s="175">
        <v>108.84</v>
      </c>
      <c r="F30" s="102">
        <f t="shared" si="0"/>
        <v>2.0247469066366763E-2</v>
      </c>
      <c r="H30" s="97">
        <v>45693</v>
      </c>
      <c r="I30" s="175">
        <v>23696.3</v>
      </c>
      <c r="J30" s="102">
        <f t="shared" si="1"/>
        <v>-1.8092399717767327E-3</v>
      </c>
      <c r="P30" s="97">
        <v>45693</v>
      </c>
      <c r="Q30" s="175">
        <v>818.85</v>
      </c>
      <c r="R30" s="102">
        <f t="shared" si="2"/>
        <v>2.1519461077844415E-2</v>
      </c>
      <c r="T30" s="97">
        <v>45693</v>
      </c>
      <c r="U30" s="175">
        <v>40.520000000000003</v>
      </c>
      <c r="V30" s="102">
        <f t="shared" si="3"/>
        <v>1.274681329667593E-2</v>
      </c>
      <c r="X30" s="97">
        <v>45693</v>
      </c>
      <c r="Y30" s="175">
        <v>949.9</v>
      </c>
      <c r="Z30" s="102">
        <f>Y30/Y29-1</f>
        <v>5.9835848557054927E-3</v>
      </c>
      <c r="AA30" s="178"/>
      <c r="AB30" s="97">
        <v>45693</v>
      </c>
      <c r="AC30" s="175">
        <v>134.4</v>
      </c>
      <c r="AD30" s="102">
        <f t="shared" si="4"/>
        <v>7.34522560335793E-3</v>
      </c>
    </row>
    <row r="31" spans="2:30" x14ac:dyDescent="0.3">
      <c r="B31" s="52" t="s">
        <v>893</v>
      </c>
      <c r="C31" s="52" t="s">
        <v>894</v>
      </c>
      <c r="D31" s="97">
        <v>45694</v>
      </c>
      <c r="E31" s="175">
        <v>107.98</v>
      </c>
      <c r="F31" s="102">
        <f t="shared" si="0"/>
        <v>-7.9015067989709475E-3</v>
      </c>
      <c r="H31" s="97">
        <v>45694</v>
      </c>
      <c r="I31" s="175">
        <v>23603.35</v>
      </c>
      <c r="J31" s="102">
        <f t="shared" si="1"/>
        <v>-3.922553310010457E-3</v>
      </c>
      <c r="P31" s="97">
        <v>45694</v>
      </c>
      <c r="Q31" s="175">
        <v>809.35</v>
      </c>
      <c r="R31" s="102">
        <f t="shared" si="2"/>
        <v>-1.1601636441350704E-2</v>
      </c>
      <c r="T31" s="97">
        <v>45694</v>
      </c>
      <c r="U31" s="175">
        <v>40.700000000000003</v>
      </c>
      <c r="V31" s="102">
        <f t="shared" si="3"/>
        <v>4.4422507403751865E-3</v>
      </c>
      <c r="X31" s="97">
        <v>45694</v>
      </c>
      <c r="Y31" s="175">
        <v>948.4</v>
      </c>
      <c r="Z31" s="102">
        <f>Y31/Y30-1</f>
        <v>-1.5791135909043463E-3</v>
      </c>
      <c r="AA31" s="178"/>
      <c r="AB31" s="97">
        <v>45694</v>
      </c>
      <c r="AC31" s="175">
        <v>132.54</v>
      </c>
      <c r="AD31" s="102">
        <f t="shared" si="4"/>
        <v>-1.3839285714285832E-2</v>
      </c>
    </row>
    <row r="32" spans="2:30" x14ac:dyDescent="0.3">
      <c r="B32" s="52" t="s">
        <v>893</v>
      </c>
      <c r="C32" s="52" t="s">
        <v>894</v>
      </c>
      <c r="D32" s="97">
        <v>45695</v>
      </c>
      <c r="E32" s="175">
        <v>110.32</v>
      </c>
      <c r="F32" s="102">
        <f t="shared" si="0"/>
        <v>2.167067975551018E-2</v>
      </c>
      <c r="H32" s="97">
        <v>45695</v>
      </c>
      <c r="I32" s="175">
        <v>23559.95</v>
      </c>
      <c r="J32" s="102">
        <f t="shared" si="1"/>
        <v>-1.8387220458111475E-3</v>
      </c>
      <c r="P32" s="97">
        <v>45695</v>
      </c>
      <c r="Q32" s="175">
        <v>844.55</v>
      </c>
      <c r="R32" s="102">
        <f t="shared" si="2"/>
        <v>4.3491690863038057E-2</v>
      </c>
      <c r="T32" s="97">
        <v>45695</v>
      </c>
      <c r="U32" s="175">
        <v>40.229999999999997</v>
      </c>
      <c r="V32" s="102">
        <f t="shared" si="3"/>
        <v>-1.1547911547911682E-2</v>
      </c>
      <c r="X32" s="97">
        <v>45695</v>
      </c>
      <c r="Y32" s="175">
        <v>980.75</v>
      </c>
      <c r="Z32" s="102">
        <f>Y32/Y31-1</f>
        <v>3.4110080134964083E-2</v>
      </c>
      <c r="AA32" s="178"/>
      <c r="AB32" s="97">
        <v>45695</v>
      </c>
      <c r="AC32" s="175">
        <v>138.31</v>
      </c>
      <c r="AD32" s="102">
        <f t="shared" si="4"/>
        <v>4.3534027463407288E-2</v>
      </c>
    </row>
    <row r="33" spans="2:30" x14ac:dyDescent="0.3">
      <c r="B33" s="52" t="s">
        <v>893</v>
      </c>
      <c r="C33" s="52" t="s">
        <v>894</v>
      </c>
      <c r="D33" s="97">
        <v>45698</v>
      </c>
      <c r="E33" s="175">
        <v>105.18</v>
      </c>
      <c r="F33" s="102">
        <f t="shared" si="0"/>
        <v>-4.6591733139956348E-2</v>
      </c>
      <c r="H33" s="97">
        <v>45698</v>
      </c>
      <c r="I33" s="175">
        <v>23381.599999999999</v>
      </c>
      <c r="J33" s="102">
        <f t="shared" si="1"/>
        <v>-7.5700500213287114E-3</v>
      </c>
      <c r="P33" s="97">
        <v>45698</v>
      </c>
      <c r="Q33" s="175">
        <v>840.6</v>
      </c>
      <c r="R33" s="102">
        <f t="shared" si="2"/>
        <v>-4.6770469480788002E-3</v>
      </c>
      <c r="T33" s="97">
        <v>45698</v>
      </c>
      <c r="U33" s="175">
        <v>39.85</v>
      </c>
      <c r="V33" s="102">
        <f t="shared" si="3"/>
        <v>-9.4456872980361872E-3</v>
      </c>
      <c r="X33" s="97">
        <v>45698</v>
      </c>
      <c r="Y33" s="175">
        <v>959.15</v>
      </c>
      <c r="Z33" s="102">
        <f>Y33/Y32-1</f>
        <v>-2.2023961254142299E-2</v>
      </c>
      <c r="AA33" s="178"/>
      <c r="AB33" s="97">
        <v>45698</v>
      </c>
      <c r="AC33" s="175">
        <v>134.04</v>
      </c>
      <c r="AD33" s="102">
        <f t="shared" si="4"/>
        <v>-3.0872677319065955E-2</v>
      </c>
    </row>
    <row r="34" spans="2:30" x14ac:dyDescent="0.3">
      <c r="B34" s="52" t="s">
        <v>893</v>
      </c>
      <c r="C34" s="52" t="s">
        <v>894</v>
      </c>
      <c r="D34" s="97">
        <v>45699</v>
      </c>
      <c r="E34" s="175">
        <v>100.02</v>
      </c>
      <c r="F34" s="102">
        <f t="shared" si="0"/>
        <v>-4.905875641756996E-2</v>
      </c>
      <c r="H34" s="97">
        <v>45699</v>
      </c>
      <c r="I34" s="175">
        <v>23071.8</v>
      </c>
      <c r="J34" s="102">
        <f t="shared" si="1"/>
        <v>-1.3249734834228644E-2</v>
      </c>
      <c r="P34" s="97">
        <v>45699</v>
      </c>
      <c r="Q34" s="175">
        <v>834.5</v>
      </c>
      <c r="R34" s="102">
        <f t="shared" si="2"/>
        <v>-7.2567213894837446E-3</v>
      </c>
      <c r="T34" s="97">
        <v>45699</v>
      </c>
      <c r="U34" s="175">
        <v>38.880000000000003</v>
      </c>
      <c r="V34" s="102">
        <f t="shared" si="3"/>
        <v>-2.4341279799247162E-2</v>
      </c>
      <c r="X34" s="97">
        <v>45699</v>
      </c>
      <c r="Y34" s="175">
        <v>954.5</v>
      </c>
      <c r="Z34" s="102">
        <f>Y34/Y33-1</f>
        <v>-4.8480425376635772E-3</v>
      </c>
      <c r="AA34" s="178"/>
      <c r="AB34" s="97">
        <v>45699</v>
      </c>
      <c r="AC34" s="175">
        <v>130.11000000000001</v>
      </c>
      <c r="AD34" s="102">
        <f t="shared" si="4"/>
        <v>-2.9319606087734873E-2</v>
      </c>
    </row>
    <row r="35" spans="2:30" x14ac:dyDescent="0.3">
      <c r="B35" s="52" t="s">
        <v>893</v>
      </c>
      <c r="C35" s="52" t="s">
        <v>894</v>
      </c>
      <c r="D35" s="97">
        <v>45700</v>
      </c>
      <c r="E35" s="175">
        <v>105.75</v>
      </c>
      <c r="F35" s="102">
        <f t="shared" si="0"/>
        <v>5.7288542291541678E-2</v>
      </c>
      <c r="H35" s="97">
        <v>45700</v>
      </c>
      <c r="I35" s="175">
        <v>23045.25</v>
      </c>
      <c r="J35" s="102">
        <f t="shared" si="1"/>
        <v>-1.1507554677138154E-3</v>
      </c>
      <c r="P35" s="97">
        <v>45700</v>
      </c>
      <c r="Q35" s="175">
        <v>829.35</v>
      </c>
      <c r="R35" s="102">
        <f t="shared" si="2"/>
        <v>-6.1713600958657189E-3</v>
      </c>
      <c r="T35" s="97">
        <v>45700</v>
      </c>
      <c r="U35" s="175">
        <v>37.979999999999997</v>
      </c>
      <c r="V35" s="102">
        <f t="shared" si="3"/>
        <v>-2.3148148148148251E-2</v>
      </c>
      <c r="X35" s="97">
        <v>45700</v>
      </c>
      <c r="Y35" s="175">
        <v>956.4</v>
      </c>
      <c r="Z35" s="102">
        <f>Y35/Y34-1</f>
        <v>1.9905709795704496E-3</v>
      </c>
      <c r="AA35" s="178"/>
      <c r="AB35" s="97">
        <v>45700</v>
      </c>
      <c r="AC35" s="175">
        <v>132.28</v>
      </c>
      <c r="AD35" s="102">
        <f t="shared" si="4"/>
        <v>1.6678195373145632E-2</v>
      </c>
    </row>
    <row r="36" spans="2:30" x14ac:dyDescent="0.3">
      <c r="B36" s="52" t="s">
        <v>893</v>
      </c>
      <c r="C36" s="52" t="s">
        <v>894</v>
      </c>
      <c r="D36" s="97">
        <v>45701</v>
      </c>
      <c r="E36" s="175">
        <v>109.33</v>
      </c>
      <c r="F36" s="102">
        <f t="shared" si="0"/>
        <v>3.3853427895981003E-2</v>
      </c>
      <c r="H36" s="97">
        <v>45701</v>
      </c>
      <c r="I36" s="175">
        <v>23031.4</v>
      </c>
      <c r="J36" s="102">
        <f t="shared" si="1"/>
        <v>-6.0099152753811946E-4</v>
      </c>
      <c r="P36" s="97">
        <v>45701</v>
      </c>
      <c r="Q36" s="175">
        <v>840.5</v>
      </c>
      <c r="R36" s="102">
        <f t="shared" si="2"/>
        <v>1.3444263579911908E-2</v>
      </c>
      <c r="T36" s="97">
        <v>45701</v>
      </c>
      <c r="U36" s="175">
        <v>38.020000000000003</v>
      </c>
      <c r="V36" s="102">
        <f t="shared" si="3"/>
        <v>1.0531858873092936E-3</v>
      </c>
      <c r="X36" s="97">
        <v>45701</v>
      </c>
      <c r="Y36" s="175">
        <v>969.8</v>
      </c>
      <c r="Z36" s="102">
        <f>Y36/Y35-1</f>
        <v>1.4010874111250571E-2</v>
      </c>
      <c r="AA36" s="178"/>
      <c r="AB36" s="97">
        <v>45701</v>
      </c>
      <c r="AC36" s="175">
        <v>136.25</v>
      </c>
      <c r="AD36" s="102">
        <f t="shared" si="4"/>
        <v>3.0012095554883489E-2</v>
      </c>
    </row>
    <row r="37" spans="2:30" x14ac:dyDescent="0.3">
      <c r="B37" s="52" t="s">
        <v>893</v>
      </c>
      <c r="C37" s="52" t="s">
        <v>894</v>
      </c>
      <c r="D37" s="97">
        <v>45702</v>
      </c>
      <c r="E37" s="175">
        <v>105.71</v>
      </c>
      <c r="F37" s="102">
        <f t="shared" si="0"/>
        <v>-3.3110765572121115E-2</v>
      </c>
      <c r="H37" s="97">
        <v>45702</v>
      </c>
      <c r="I37" s="175">
        <v>22929.25</v>
      </c>
      <c r="J37" s="102">
        <f t="shared" si="1"/>
        <v>-4.4352492683902289E-3</v>
      </c>
      <c r="P37" s="97">
        <v>45702</v>
      </c>
      <c r="Q37" s="175">
        <v>833.3</v>
      </c>
      <c r="R37" s="102">
        <f t="shared" si="2"/>
        <v>-8.566329565734776E-3</v>
      </c>
      <c r="T37" s="97">
        <v>45702</v>
      </c>
      <c r="U37" s="175">
        <v>37.14</v>
      </c>
      <c r="V37" s="102">
        <f t="shared" si="3"/>
        <v>-2.314571278274602E-2</v>
      </c>
      <c r="X37" s="97">
        <v>45702</v>
      </c>
      <c r="Y37" s="175">
        <v>964.6</v>
      </c>
      <c r="Z37" s="102">
        <f>Y37/Y36-1</f>
        <v>-5.3619302949060588E-3</v>
      </c>
      <c r="AA37" s="178"/>
      <c r="AB37" s="97">
        <v>45702</v>
      </c>
      <c r="AC37" s="175">
        <v>134.47</v>
      </c>
      <c r="AD37" s="102">
        <f t="shared" si="4"/>
        <v>-1.3064220183486297E-2</v>
      </c>
    </row>
    <row r="38" spans="2:30" x14ac:dyDescent="0.3">
      <c r="B38" s="52" t="s">
        <v>893</v>
      </c>
      <c r="C38" s="52" t="s">
        <v>894</v>
      </c>
      <c r="D38" s="97">
        <v>45705</v>
      </c>
      <c r="E38" s="175">
        <v>105.33</v>
      </c>
      <c r="F38" s="102">
        <f t="shared" si="0"/>
        <v>-3.5947403273105527E-3</v>
      </c>
      <c r="H38" s="97">
        <v>45705</v>
      </c>
      <c r="I38" s="175">
        <v>22959.5</v>
      </c>
      <c r="J38" s="102">
        <f t="shared" si="1"/>
        <v>1.3192755977626813E-3</v>
      </c>
      <c r="P38" s="97">
        <v>45705</v>
      </c>
      <c r="Q38" s="175">
        <v>837.65</v>
      </c>
      <c r="R38" s="102">
        <f t="shared" si="2"/>
        <v>5.220208808352389E-3</v>
      </c>
      <c r="T38" s="97">
        <v>45705</v>
      </c>
      <c r="U38" s="175">
        <v>35.880000000000003</v>
      </c>
      <c r="V38" s="102">
        <f t="shared" si="3"/>
        <v>-3.392568659127615E-2</v>
      </c>
      <c r="X38" s="97">
        <v>45705</v>
      </c>
      <c r="Y38" s="175">
        <v>973.55</v>
      </c>
      <c r="Z38" s="102">
        <f>Y38/Y37-1</f>
        <v>9.2784573916648849E-3</v>
      </c>
      <c r="AA38" s="178"/>
      <c r="AB38" s="97">
        <v>45705</v>
      </c>
      <c r="AC38" s="175">
        <v>134.29</v>
      </c>
      <c r="AD38" s="102">
        <f t="shared" si="4"/>
        <v>-1.3385885327582558E-3</v>
      </c>
    </row>
    <row r="39" spans="2:30" x14ac:dyDescent="0.3">
      <c r="B39" s="52" t="s">
        <v>893</v>
      </c>
      <c r="C39" s="52" t="s">
        <v>894</v>
      </c>
      <c r="D39" s="97">
        <v>45706</v>
      </c>
      <c r="E39" s="175">
        <v>104.39</v>
      </c>
      <c r="F39" s="102">
        <f t="shared" si="0"/>
        <v>-8.9243330485141437E-3</v>
      </c>
      <c r="H39" s="97">
        <v>45706</v>
      </c>
      <c r="I39" s="175">
        <v>22945.3</v>
      </c>
      <c r="J39" s="102">
        <f t="shared" si="1"/>
        <v>-6.1848036760381309E-4</v>
      </c>
      <c r="P39" s="97">
        <v>45706</v>
      </c>
      <c r="Q39" s="175">
        <v>846.95</v>
      </c>
      <c r="R39" s="102">
        <f t="shared" si="2"/>
        <v>1.1102489106428859E-2</v>
      </c>
      <c r="T39" s="97">
        <v>45706</v>
      </c>
      <c r="U39" s="175">
        <v>35.36</v>
      </c>
      <c r="V39" s="102">
        <f t="shared" si="3"/>
        <v>-1.449275362318847E-2</v>
      </c>
      <c r="X39" s="97">
        <v>45706</v>
      </c>
      <c r="Y39" s="175">
        <v>978.8</v>
      </c>
      <c r="Z39" s="102">
        <f>Y39/Y38-1</f>
        <v>5.3926352010682521E-3</v>
      </c>
      <c r="AA39" s="178"/>
      <c r="AB39" s="97">
        <v>45706</v>
      </c>
      <c r="AC39" s="175">
        <v>134.54</v>
      </c>
      <c r="AD39" s="102">
        <f t="shared" si="4"/>
        <v>1.8616427135305091E-3</v>
      </c>
    </row>
    <row r="40" spans="2:30" x14ac:dyDescent="0.3">
      <c r="B40" s="52" t="s">
        <v>893</v>
      </c>
      <c r="C40" s="52" t="s">
        <v>894</v>
      </c>
      <c r="D40" s="97">
        <v>45707</v>
      </c>
      <c r="E40" s="175">
        <v>106.53</v>
      </c>
      <c r="F40" s="102">
        <f t="shared" si="0"/>
        <v>2.0500047897308082E-2</v>
      </c>
      <c r="H40" s="97">
        <v>45707</v>
      </c>
      <c r="I40" s="175">
        <v>22932.9</v>
      </c>
      <c r="J40" s="102">
        <f t="shared" si="1"/>
        <v>-5.4041568425766684E-4</v>
      </c>
      <c r="P40" s="97">
        <v>45707</v>
      </c>
      <c r="Q40" s="175">
        <v>860.1</v>
      </c>
      <c r="R40" s="102">
        <f t="shared" si="2"/>
        <v>1.5526300253851932E-2</v>
      </c>
      <c r="T40" s="97">
        <v>45707</v>
      </c>
      <c r="U40" s="175">
        <v>36.11</v>
      </c>
      <c r="V40" s="102">
        <f t="shared" si="3"/>
        <v>2.1210407239818929E-2</v>
      </c>
      <c r="X40" s="97">
        <v>45707</v>
      </c>
      <c r="Y40" s="175">
        <v>977.35</v>
      </c>
      <c r="Z40" s="102">
        <f>Y40/Y39-1</f>
        <v>-1.4814058030240274E-3</v>
      </c>
      <c r="AA40" s="178"/>
      <c r="AB40" s="97">
        <v>45707</v>
      </c>
      <c r="AC40" s="175">
        <v>135.76</v>
      </c>
      <c r="AD40" s="102">
        <f t="shared" si="4"/>
        <v>9.067935186561682E-3</v>
      </c>
    </row>
    <row r="41" spans="2:30" x14ac:dyDescent="0.3">
      <c r="B41" s="52" t="s">
        <v>893</v>
      </c>
      <c r="C41" s="52" t="s">
        <v>894</v>
      </c>
      <c r="D41" s="97">
        <v>45708</v>
      </c>
      <c r="E41" s="175">
        <v>109.84</v>
      </c>
      <c r="F41" s="102">
        <f t="shared" si="0"/>
        <v>3.1071059795362732E-2</v>
      </c>
      <c r="H41" s="97">
        <v>45708</v>
      </c>
      <c r="I41" s="175">
        <v>22913.15</v>
      </c>
      <c r="J41" s="102">
        <f t="shared" si="1"/>
        <v>-8.6120813329326751E-4</v>
      </c>
      <c r="P41" s="97">
        <v>45708</v>
      </c>
      <c r="Q41" s="175">
        <v>879.3</v>
      </c>
      <c r="R41" s="102">
        <f t="shared" si="2"/>
        <v>2.2322985699337217E-2</v>
      </c>
      <c r="T41" s="97">
        <v>45708</v>
      </c>
      <c r="U41" s="175">
        <v>37.29</v>
      </c>
      <c r="V41" s="102">
        <f t="shared" si="3"/>
        <v>3.2677928551647639E-2</v>
      </c>
      <c r="X41" s="97">
        <v>45708</v>
      </c>
      <c r="Y41" s="175">
        <v>981.15</v>
      </c>
      <c r="Z41" s="102">
        <f>Y41/Y40-1</f>
        <v>3.8880646646544115E-3</v>
      </c>
      <c r="AA41" s="178"/>
      <c r="AB41" s="97">
        <v>45708</v>
      </c>
      <c r="AC41" s="175">
        <v>138.04</v>
      </c>
      <c r="AD41" s="102">
        <f t="shared" si="4"/>
        <v>1.6794342958161401E-2</v>
      </c>
    </row>
    <row r="42" spans="2:30" x14ac:dyDescent="0.3">
      <c r="B42" s="52" t="s">
        <v>893</v>
      </c>
      <c r="C42" s="52" t="s">
        <v>894</v>
      </c>
      <c r="D42" s="97">
        <v>45709</v>
      </c>
      <c r="E42" s="175">
        <v>112.76</v>
      </c>
      <c r="F42" s="102">
        <f t="shared" si="0"/>
        <v>2.6584122359796014E-2</v>
      </c>
      <c r="H42" s="97">
        <v>45709</v>
      </c>
      <c r="I42" s="175">
        <v>22795.9</v>
      </c>
      <c r="J42" s="102">
        <f t="shared" si="1"/>
        <v>-5.1171488861200265E-3</v>
      </c>
      <c r="P42" s="97">
        <v>45709</v>
      </c>
      <c r="Q42" s="175">
        <v>880.35</v>
      </c>
      <c r="R42" s="102">
        <f t="shared" si="2"/>
        <v>1.1941316956671777E-3</v>
      </c>
      <c r="T42" s="97">
        <v>45709</v>
      </c>
      <c r="U42" s="175">
        <v>38.92</v>
      </c>
      <c r="V42" s="102">
        <f t="shared" si="3"/>
        <v>4.3711450791096951E-2</v>
      </c>
      <c r="X42" s="97">
        <v>45709</v>
      </c>
      <c r="Y42" s="175">
        <v>981.9</v>
      </c>
      <c r="Z42" s="102">
        <f>Y42/Y41-1</f>
        <v>7.6440911175668091E-4</v>
      </c>
      <c r="AA42" s="178"/>
      <c r="AB42" s="97">
        <v>45709</v>
      </c>
      <c r="AC42" s="175">
        <v>140.76</v>
      </c>
      <c r="AD42" s="102">
        <f t="shared" si="4"/>
        <v>1.9704433497536922E-2</v>
      </c>
    </row>
    <row r="43" spans="2:30" x14ac:dyDescent="0.3">
      <c r="B43" s="52" t="s">
        <v>893</v>
      </c>
      <c r="C43" s="52" t="s">
        <v>894</v>
      </c>
      <c r="D43" s="97">
        <v>45712</v>
      </c>
      <c r="E43" s="175">
        <v>108.21</v>
      </c>
      <c r="F43" s="102">
        <f t="shared" si="0"/>
        <v>-4.0351188364668444E-2</v>
      </c>
      <c r="H43" s="97">
        <v>45712</v>
      </c>
      <c r="I43" s="175">
        <v>22553.35</v>
      </c>
      <c r="J43" s="102">
        <f t="shared" si="1"/>
        <v>-1.0640071240881177E-2</v>
      </c>
      <c r="P43" s="97">
        <v>45712</v>
      </c>
      <c r="Q43" s="175">
        <v>862.25</v>
      </c>
      <c r="R43" s="102">
        <f t="shared" si="2"/>
        <v>-2.0560004543647481E-2</v>
      </c>
      <c r="T43" s="97">
        <v>45712</v>
      </c>
      <c r="U43" s="175">
        <v>37.700000000000003</v>
      </c>
      <c r="V43" s="102">
        <f t="shared" si="3"/>
        <v>-3.1346351490236346E-2</v>
      </c>
      <c r="X43" s="97">
        <v>45712</v>
      </c>
      <c r="Y43" s="175">
        <v>966.8</v>
      </c>
      <c r="Z43" s="102">
        <f>Y43/Y42-1</f>
        <v>-1.537834810062122E-2</v>
      </c>
      <c r="AA43" s="178"/>
      <c r="AB43" s="97">
        <v>45712</v>
      </c>
      <c r="AC43" s="175">
        <v>137.65</v>
      </c>
      <c r="AD43" s="102">
        <f t="shared" si="4"/>
        <v>-2.2094344984370462E-2</v>
      </c>
    </row>
    <row r="44" spans="2:30" x14ac:dyDescent="0.3">
      <c r="B44" s="52" t="s">
        <v>893</v>
      </c>
      <c r="C44" s="52" t="s">
        <v>894</v>
      </c>
      <c r="D44" s="97">
        <v>45713</v>
      </c>
      <c r="E44" s="175">
        <v>106.17</v>
      </c>
      <c r="F44" s="102">
        <f t="shared" si="0"/>
        <v>-1.8852231771555261E-2</v>
      </c>
      <c r="H44" s="97">
        <v>45713</v>
      </c>
      <c r="I44" s="175">
        <v>22547.55</v>
      </c>
      <c r="J44" s="102">
        <f t="shared" si="1"/>
        <v>-2.5716800386632599E-4</v>
      </c>
      <c r="P44" s="97">
        <v>45713</v>
      </c>
      <c r="Q44" s="175">
        <v>856.8</v>
      </c>
      <c r="R44" s="102">
        <f t="shared" si="2"/>
        <v>-6.3206726587416995E-3</v>
      </c>
      <c r="T44" s="97">
        <v>45713</v>
      </c>
      <c r="U44" s="175">
        <v>37.5</v>
      </c>
      <c r="V44" s="102">
        <f t="shared" si="3"/>
        <v>-5.3050397877985045E-3</v>
      </c>
      <c r="X44" s="97">
        <v>45713</v>
      </c>
      <c r="Y44" s="175">
        <v>958.75</v>
      </c>
      <c r="Z44" s="102">
        <f>Y44/Y43-1</f>
        <v>-8.3264377327264549E-3</v>
      </c>
      <c r="AA44" s="178"/>
      <c r="AB44" s="97">
        <v>45713</v>
      </c>
      <c r="AC44" s="175">
        <v>137.07</v>
      </c>
      <c r="AD44" s="102">
        <f t="shared" si="4"/>
        <v>-4.2135851798039692E-3</v>
      </c>
    </row>
    <row r="45" spans="2:30" x14ac:dyDescent="0.3">
      <c r="B45" s="52" t="s">
        <v>893</v>
      </c>
      <c r="C45" s="52" t="s">
        <v>894</v>
      </c>
      <c r="D45" s="97">
        <v>45715</v>
      </c>
      <c r="E45" s="175">
        <v>105.98</v>
      </c>
      <c r="F45" s="102">
        <f t="shared" si="0"/>
        <v>-1.7895827446547941E-3</v>
      </c>
      <c r="H45" s="97">
        <v>45715</v>
      </c>
      <c r="I45" s="175">
        <v>22545.05</v>
      </c>
      <c r="J45" s="102">
        <f t="shared" si="1"/>
        <v>-1.1087679149179852E-4</v>
      </c>
      <c r="P45" s="97">
        <v>45715</v>
      </c>
      <c r="Q45" s="175">
        <v>862</v>
      </c>
      <c r="R45" s="102">
        <f t="shared" si="2"/>
        <v>6.0690943043884005E-3</v>
      </c>
      <c r="T45" s="97">
        <v>45715</v>
      </c>
      <c r="U45" s="175">
        <v>36.42</v>
      </c>
      <c r="V45" s="102">
        <f t="shared" si="3"/>
        <v>-2.8799999999999937E-2</v>
      </c>
      <c r="X45" s="97">
        <v>45715</v>
      </c>
      <c r="Y45" s="175">
        <v>975</v>
      </c>
      <c r="Z45" s="102">
        <f>Y45/Y44-1</f>
        <v>1.6949152542372836E-2</v>
      </c>
      <c r="AA45" s="178"/>
      <c r="AB45" s="97">
        <v>45715</v>
      </c>
      <c r="AC45" s="175">
        <v>138.69</v>
      </c>
      <c r="AD45" s="102">
        <f t="shared" si="4"/>
        <v>1.1818778726198298E-2</v>
      </c>
    </row>
    <row r="46" spans="2:30" x14ac:dyDescent="0.3">
      <c r="B46" s="52" t="s">
        <v>893</v>
      </c>
      <c r="C46" s="52" t="s">
        <v>894</v>
      </c>
      <c r="D46" s="97">
        <v>45716</v>
      </c>
      <c r="E46" s="175">
        <v>105.02</v>
      </c>
      <c r="F46" s="102">
        <f t="shared" si="0"/>
        <v>-9.0583128892244291E-3</v>
      </c>
      <c r="H46" s="97">
        <v>45716</v>
      </c>
      <c r="I46" s="175">
        <v>22124.7</v>
      </c>
      <c r="J46" s="102">
        <f t="shared" si="1"/>
        <v>-1.8644891007116748E-2</v>
      </c>
      <c r="P46" s="97">
        <v>45716</v>
      </c>
      <c r="Q46" s="175">
        <v>856.15</v>
      </c>
      <c r="R46" s="102">
        <f t="shared" si="2"/>
        <v>-6.7865429234339469E-3</v>
      </c>
      <c r="T46" s="97">
        <v>45716</v>
      </c>
      <c r="U46" s="175">
        <v>35.4</v>
      </c>
      <c r="V46" s="102">
        <f t="shared" si="3"/>
        <v>-2.8006589785832037E-2</v>
      </c>
      <c r="X46" s="97">
        <v>45716</v>
      </c>
      <c r="Y46" s="175">
        <v>950.7</v>
      </c>
      <c r="Z46" s="102">
        <f>Y46/Y45-1</f>
        <v>-2.4923076923076826E-2</v>
      </c>
      <c r="AA46" s="178"/>
      <c r="AB46" s="97">
        <v>45716</v>
      </c>
      <c r="AC46" s="175">
        <v>137.19999999999999</v>
      </c>
      <c r="AD46" s="102">
        <f t="shared" si="4"/>
        <v>-1.0743384526642252E-2</v>
      </c>
    </row>
    <row r="47" spans="2:30" x14ac:dyDescent="0.3">
      <c r="B47" s="52" t="s">
        <v>893</v>
      </c>
      <c r="C47" s="52" t="s">
        <v>894</v>
      </c>
      <c r="D47" s="97">
        <v>45719</v>
      </c>
      <c r="E47" s="175">
        <v>106.36</v>
      </c>
      <c r="F47" s="102">
        <f t="shared" si="0"/>
        <v>1.2759474385831249E-2</v>
      </c>
      <c r="H47" s="97">
        <v>45719</v>
      </c>
      <c r="I47" s="175">
        <v>22119.3</v>
      </c>
      <c r="J47" s="102">
        <f t="shared" si="1"/>
        <v>-2.4407110604895976E-4</v>
      </c>
      <c r="P47" s="97">
        <v>45719</v>
      </c>
      <c r="Q47" s="175">
        <v>854.35</v>
      </c>
      <c r="R47" s="102">
        <f t="shared" si="2"/>
        <v>-2.102435320913365E-3</v>
      </c>
      <c r="T47" s="97">
        <v>45719</v>
      </c>
      <c r="U47" s="175">
        <v>34.42</v>
      </c>
      <c r="V47" s="102">
        <f t="shared" si="3"/>
        <v>-2.7683615819208973E-2</v>
      </c>
      <c r="X47" s="97">
        <v>45719</v>
      </c>
      <c r="Y47" s="175">
        <v>976.05</v>
      </c>
      <c r="Z47" s="102">
        <f>Y47/Y46-1</f>
        <v>2.666456295361308E-2</v>
      </c>
      <c r="AA47" s="178"/>
      <c r="AB47" s="97">
        <v>45719</v>
      </c>
      <c r="AC47" s="175">
        <v>138.57</v>
      </c>
      <c r="AD47" s="102">
        <f t="shared" si="4"/>
        <v>9.9854227405247187E-3</v>
      </c>
    </row>
    <row r="48" spans="2:30" x14ac:dyDescent="0.3">
      <c r="B48" s="52" t="s">
        <v>893</v>
      </c>
      <c r="C48" s="52" t="s">
        <v>894</v>
      </c>
      <c r="D48" s="97">
        <v>45720</v>
      </c>
      <c r="E48" s="175">
        <v>107.66</v>
      </c>
      <c r="F48" s="102">
        <f t="shared" si="0"/>
        <v>1.2222640090259418E-2</v>
      </c>
      <c r="H48" s="97">
        <v>45720</v>
      </c>
      <c r="I48" s="175">
        <v>22082.65</v>
      </c>
      <c r="J48" s="102">
        <f t="shared" si="1"/>
        <v>-1.6569240437083188E-3</v>
      </c>
      <c r="P48" s="97">
        <v>45720</v>
      </c>
      <c r="Q48" s="175">
        <v>867.3</v>
      </c>
      <c r="R48" s="102">
        <f t="shared" si="2"/>
        <v>1.5157722244981464E-2</v>
      </c>
      <c r="T48" s="97">
        <v>45720</v>
      </c>
      <c r="U48" s="175">
        <v>33.92</v>
      </c>
      <c r="V48" s="102">
        <f t="shared" si="3"/>
        <v>-1.4526438117373641E-2</v>
      </c>
      <c r="X48" s="97">
        <v>45720</v>
      </c>
      <c r="Y48" s="175">
        <v>974.1</v>
      </c>
      <c r="Z48" s="102">
        <f>Y48/Y47-1</f>
        <v>-1.9978484708774724E-3</v>
      </c>
      <c r="AA48" s="178"/>
      <c r="AB48" s="97">
        <v>45720</v>
      </c>
      <c r="AC48" s="175">
        <v>139.34</v>
      </c>
      <c r="AD48" s="102">
        <f t="shared" si="4"/>
        <v>5.5567583170961221E-3</v>
      </c>
    </row>
    <row r="49" spans="2:30" x14ac:dyDescent="0.3">
      <c r="B49" s="52" t="s">
        <v>893</v>
      </c>
      <c r="C49" s="52" t="s">
        <v>894</v>
      </c>
      <c r="D49" s="97">
        <v>45721</v>
      </c>
      <c r="E49" s="175">
        <v>112.53</v>
      </c>
      <c r="F49" s="102">
        <f t="shared" si="0"/>
        <v>4.5234999071150028E-2</v>
      </c>
      <c r="H49" s="97">
        <v>45721</v>
      </c>
      <c r="I49" s="175">
        <v>22337.3</v>
      </c>
      <c r="J49" s="102">
        <f t="shared" si="1"/>
        <v>1.1531677583985545E-2</v>
      </c>
      <c r="P49" s="97">
        <v>45721</v>
      </c>
      <c r="Q49" s="175">
        <v>891.65</v>
      </c>
      <c r="R49" s="102">
        <f t="shared" si="2"/>
        <v>2.8075637034474799E-2</v>
      </c>
      <c r="T49" s="97">
        <v>45721</v>
      </c>
      <c r="U49" s="175">
        <v>35.58</v>
      </c>
      <c r="V49" s="102">
        <f t="shared" si="3"/>
        <v>4.8938679245282835E-2</v>
      </c>
      <c r="X49" s="97">
        <v>45721</v>
      </c>
      <c r="Y49" s="175">
        <v>1002.7</v>
      </c>
      <c r="Z49" s="102">
        <f>Y49/Y48-1</f>
        <v>2.9360435273585894E-2</v>
      </c>
      <c r="AA49" s="178"/>
      <c r="AB49" s="97">
        <v>45721</v>
      </c>
      <c r="AC49" s="175">
        <v>146.1</v>
      </c>
      <c r="AD49" s="102">
        <f t="shared" si="4"/>
        <v>4.851442514712212E-2</v>
      </c>
    </row>
    <row r="50" spans="2:30" x14ac:dyDescent="0.3">
      <c r="B50" s="52" t="s">
        <v>893</v>
      </c>
      <c r="C50" s="52" t="s">
        <v>894</v>
      </c>
      <c r="D50" s="97">
        <v>45722</v>
      </c>
      <c r="E50" s="175">
        <v>111.97</v>
      </c>
      <c r="F50" s="102">
        <f t="shared" si="0"/>
        <v>-4.9764507242513467E-3</v>
      </c>
      <c r="H50" s="97">
        <v>45722</v>
      </c>
      <c r="I50" s="175">
        <v>22544.7</v>
      </c>
      <c r="J50" s="102">
        <f t="shared" si="1"/>
        <v>9.2849180518683738E-3</v>
      </c>
      <c r="P50" s="97">
        <v>45722</v>
      </c>
      <c r="Q50" s="175">
        <v>914.6</v>
      </c>
      <c r="R50" s="102">
        <f t="shared" si="2"/>
        <v>2.5738798856053346E-2</v>
      </c>
      <c r="T50" s="97">
        <v>45722</v>
      </c>
      <c r="U50" s="175">
        <v>36.6</v>
      </c>
      <c r="V50" s="102">
        <f t="shared" si="3"/>
        <v>2.8667790893760703E-2</v>
      </c>
      <c r="X50" s="97">
        <v>45722</v>
      </c>
      <c r="Y50" s="175">
        <v>1011.1</v>
      </c>
      <c r="Z50" s="102">
        <f>Y50/Y49-1</f>
        <v>8.3773810711080809E-3</v>
      </c>
      <c r="AA50" s="178"/>
      <c r="AB50" s="97">
        <v>45722</v>
      </c>
      <c r="AC50" s="175">
        <v>150.44</v>
      </c>
      <c r="AD50" s="102">
        <f t="shared" si="4"/>
        <v>2.9705681040383292E-2</v>
      </c>
    </row>
    <row r="51" spans="2:30" x14ac:dyDescent="0.3">
      <c r="B51" s="52" t="s">
        <v>893</v>
      </c>
      <c r="C51" s="52" t="s">
        <v>894</v>
      </c>
      <c r="D51" s="97">
        <v>45723</v>
      </c>
      <c r="E51" s="175">
        <v>110.91</v>
      </c>
      <c r="F51" s="102">
        <f t="shared" si="0"/>
        <v>-9.4668214700366349E-3</v>
      </c>
      <c r="H51" s="97">
        <v>45723</v>
      </c>
      <c r="I51" s="175">
        <v>22552.5</v>
      </c>
      <c r="J51" s="102">
        <f t="shared" si="1"/>
        <v>3.459793210820461E-4</v>
      </c>
      <c r="P51" s="97">
        <v>45723</v>
      </c>
      <c r="Q51" s="175">
        <v>908.95</v>
      </c>
      <c r="R51" s="102">
        <f t="shared" si="2"/>
        <v>-6.1775639623878886E-3</v>
      </c>
      <c r="T51" s="97">
        <v>45723</v>
      </c>
      <c r="U51" s="175">
        <v>37.26</v>
      </c>
      <c r="V51" s="102">
        <f t="shared" si="3"/>
        <v>1.8032786885245899E-2</v>
      </c>
      <c r="X51" s="97">
        <v>45723</v>
      </c>
      <c r="Y51" s="175">
        <v>1011.15</v>
      </c>
      <c r="Z51" s="102">
        <f>Y51/Y50-1</f>
        <v>4.9451092869023938E-5</v>
      </c>
      <c r="AA51" s="178"/>
      <c r="AB51" s="97">
        <v>45723</v>
      </c>
      <c r="AC51" s="175">
        <v>151.56</v>
      </c>
      <c r="AD51" s="102">
        <f t="shared" si="4"/>
        <v>7.444828503057721E-3</v>
      </c>
    </row>
    <row r="52" spans="2:30" x14ac:dyDescent="0.3">
      <c r="B52" s="52" t="s">
        <v>893</v>
      </c>
      <c r="C52" s="52" t="s">
        <v>894</v>
      </c>
      <c r="D52" s="97">
        <v>45726</v>
      </c>
      <c r="E52" s="175">
        <v>107.27</v>
      </c>
      <c r="F52" s="102">
        <f t="shared" si="0"/>
        <v>-3.2819403119646595E-2</v>
      </c>
      <c r="H52" s="97">
        <v>45726</v>
      </c>
      <c r="I52" s="175">
        <v>22460.3</v>
      </c>
      <c r="J52" s="102">
        <f t="shared" si="1"/>
        <v>-4.0882385544840361E-3</v>
      </c>
      <c r="P52" s="97">
        <v>45726</v>
      </c>
      <c r="Q52" s="175">
        <v>905.3</v>
      </c>
      <c r="R52" s="102">
        <f t="shared" si="2"/>
        <v>-4.0156224214754621E-3</v>
      </c>
      <c r="T52" s="97">
        <v>45726</v>
      </c>
      <c r="U52" s="175">
        <v>36.229999999999997</v>
      </c>
      <c r="V52" s="102">
        <f t="shared" si="3"/>
        <v>-2.7643585614600119E-2</v>
      </c>
      <c r="X52" s="97">
        <v>45726</v>
      </c>
      <c r="Y52" s="175">
        <v>1013.5</v>
      </c>
      <c r="Z52" s="102">
        <f>Y52/Y51-1</f>
        <v>2.3240864362359392E-3</v>
      </c>
      <c r="AA52" s="178"/>
      <c r="AB52" s="97">
        <v>45726</v>
      </c>
      <c r="AC52" s="175">
        <v>151.05000000000001</v>
      </c>
      <c r="AD52" s="102">
        <f t="shared" si="4"/>
        <v>-3.3650039588281055E-3</v>
      </c>
    </row>
    <row r="53" spans="2:30" x14ac:dyDescent="0.3">
      <c r="B53" s="52" t="s">
        <v>893</v>
      </c>
      <c r="C53" s="52" t="s">
        <v>894</v>
      </c>
      <c r="D53" s="97">
        <v>45727</v>
      </c>
      <c r="E53" s="175">
        <v>108.13</v>
      </c>
      <c r="F53" s="102">
        <f t="shared" si="0"/>
        <v>8.0171529784656137E-3</v>
      </c>
      <c r="H53" s="97">
        <v>45727</v>
      </c>
      <c r="I53" s="175">
        <v>22497.9</v>
      </c>
      <c r="J53" s="102">
        <f t="shared" si="1"/>
        <v>1.6740649056334878E-3</v>
      </c>
      <c r="P53" s="97">
        <v>45727</v>
      </c>
      <c r="Q53" s="175">
        <v>904.85</v>
      </c>
      <c r="R53" s="102">
        <f t="shared" si="2"/>
        <v>-4.970727935490471E-4</v>
      </c>
      <c r="T53" s="97">
        <v>45727</v>
      </c>
      <c r="U53" s="175">
        <v>35.76</v>
      </c>
      <c r="V53" s="102">
        <f t="shared" si="3"/>
        <v>-1.2972674579078136E-2</v>
      </c>
      <c r="X53" s="97">
        <v>45727</v>
      </c>
      <c r="Y53" s="175">
        <v>1018.65</v>
      </c>
      <c r="Z53" s="102">
        <f>Y53/Y52-1</f>
        <v>5.0814010853477143E-3</v>
      </c>
      <c r="AA53" s="178"/>
      <c r="AB53" s="97">
        <v>45727</v>
      </c>
      <c r="AC53" s="175">
        <v>150.75</v>
      </c>
      <c r="AD53" s="102">
        <f t="shared" si="4"/>
        <v>-1.9860973187686426E-3</v>
      </c>
    </row>
    <row r="54" spans="2:30" x14ac:dyDescent="0.3">
      <c r="B54" s="52" t="s">
        <v>893</v>
      </c>
      <c r="C54" s="52" t="s">
        <v>894</v>
      </c>
      <c r="D54" s="97">
        <v>45728</v>
      </c>
      <c r="E54" s="175">
        <v>106.66</v>
      </c>
      <c r="F54" s="102">
        <f t="shared" si="0"/>
        <v>-1.3594747063719548E-2</v>
      </c>
      <c r="H54" s="97">
        <v>45728</v>
      </c>
      <c r="I54" s="175">
        <v>22470.5</v>
      </c>
      <c r="J54" s="102">
        <f t="shared" si="1"/>
        <v>-1.2178914476462799E-3</v>
      </c>
      <c r="P54" s="97">
        <v>45728</v>
      </c>
      <c r="Q54" s="175">
        <v>903.05</v>
      </c>
      <c r="R54" s="102">
        <f t="shared" si="2"/>
        <v>-1.9892799911588321E-3</v>
      </c>
      <c r="T54" s="97">
        <v>45728</v>
      </c>
      <c r="U54" s="175">
        <v>35.03</v>
      </c>
      <c r="V54" s="102">
        <f t="shared" si="3"/>
        <v>-2.0413870246084875E-2</v>
      </c>
      <c r="X54" s="97">
        <v>45728</v>
      </c>
      <c r="Y54" s="175">
        <v>1010.4</v>
      </c>
      <c r="Z54" s="102">
        <f>Y54/Y53-1</f>
        <v>-8.0989544986010964E-3</v>
      </c>
      <c r="AA54" s="178"/>
      <c r="AB54" s="97">
        <v>45728</v>
      </c>
      <c r="AC54" s="175">
        <v>150.30000000000001</v>
      </c>
      <c r="AD54" s="102">
        <f t="shared" si="4"/>
        <v>-2.9850746268655914E-3</v>
      </c>
    </row>
    <row r="55" spans="2:30" x14ac:dyDescent="0.3">
      <c r="B55" s="52" t="s">
        <v>893</v>
      </c>
      <c r="C55" s="52" t="s">
        <v>894</v>
      </c>
      <c r="D55" s="97">
        <v>45729</v>
      </c>
      <c r="E55" s="175">
        <v>105.89</v>
      </c>
      <c r="F55" s="102">
        <f t="shared" si="0"/>
        <v>-7.2192012000750205E-3</v>
      </c>
      <c r="H55" s="97">
        <v>45729</v>
      </c>
      <c r="I55" s="175">
        <v>22397.200000000001</v>
      </c>
      <c r="J55" s="102">
        <f t="shared" si="1"/>
        <v>-3.2620546939320372E-3</v>
      </c>
      <c r="P55" s="97">
        <v>45729</v>
      </c>
      <c r="Q55" s="175">
        <v>889.7</v>
      </c>
      <c r="R55" s="102">
        <f t="shared" si="2"/>
        <v>-1.4783234593876204E-2</v>
      </c>
      <c r="T55" s="97">
        <v>45729</v>
      </c>
      <c r="U55" s="175">
        <v>34.24</v>
      </c>
      <c r="V55" s="102">
        <f t="shared" si="3"/>
        <v>-2.2552098201541471E-2</v>
      </c>
      <c r="X55" s="97">
        <v>45729</v>
      </c>
      <c r="Y55" s="175">
        <v>1001.2</v>
      </c>
      <c r="Z55" s="102">
        <f>Y55/Y54-1</f>
        <v>-9.1053048297703443E-3</v>
      </c>
      <c r="AA55" s="178"/>
      <c r="AB55" s="97">
        <v>45729</v>
      </c>
      <c r="AC55" s="175">
        <v>150.88</v>
      </c>
      <c r="AD55" s="102">
        <f t="shared" si="4"/>
        <v>3.8589487691282898E-3</v>
      </c>
    </row>
    <row r="56" spans="2:30" x14ac:dyDescent="0.3">
      <c r="B56" s="52" t="s">
        <v>893</v>
      </c>
      <c r="C56" s="52" t="s">
        <v>894</v>
      </c>
      <c r="D56" s="97">
        <v>45733</v>
      </c>
      <c r="E56" s="175">
        <v>106.14</v>
      </c>
      <c r="F56" s="102">
        <f t="shared" si="0"/>
        <v>2.3609405987345955E-3</v>
      </c>
      <c r="H56" s="97">
        <v>45733</v>
      </c>
      <c r="I56" s="175">
        <v>22508.75</v>
      </c>
      <c r="J56" s="102">
        <f t="shared" si="1"/>
        <v>4.9805332809458314E-3</v>
      </c>
      <c r="P56" s="97">
        <v>45733</v>
      </c>
      <c r="Q56" s="175">
        <v>897.25</v>
      </c>
      <c r="R56" s="102">
        <f t="shared" si="2"/>
        <v>8.4860065190512923E-3</v>
      </c>
      <c r="T56" s="97">
        <v>45733</v>
      </c>
      <c r="U56" s="175">
        <v>33.26</v>
      </c>
      <c r="V56" s="102">
        <f t="shared" si="3"/>
        <v>-2.8621495327102897E-2</v>
      </c>
      <c r="X56" s="97">
        <v>45733</v>
      </c>
      <c r="Y56" s="175">
        <v>1005.7</v>
      </c>
      <c r="Z56" s="102">
        <f>Y56/Y55-1</f>
        <v>4.4946064722333201E-3</v>
      </c>
      <c r="AA56" s="178"/>
      <c r="AB56" s="97">
        <v>45733</v>
      </c>
      <c r="AC56" s="175">
        <v>151.81</v>
      </c>
      <c r="AD56" s="102">
        <f t="shared" si="4"/>
        <v>6.1638388123013144E-3</v>
      </c>
    </row>
    <row r="57" spans="2:30" x14ac:dyDescent="0.3">
      <c r="B57" s="52" t="s">
        <v>893</v>
      </c>
      <c r="C57" s="52" t="s">
        <v>894</v>
      </c>
      <c r="D57" s="97">
        <v>45734</v>
      </c>
      <c r="E57" s="175">
        <v>108.91</v>
      </c>
      <c r="F57" s="102">
        <f t="shared" si="0"/>
        <v>2.6097606934237794E-2</v>
      </c>
      <c r="H57" s="97">
        <v>45734</v>
      </c>
      <c r="I57" s="175">
        <v>22834.3</v>
      </c>
      <c r="J57" s="102">
        <f t="shared" si="1"/>
        <v>1.4463264286110888E-2</v>
      </c>
      <c r="P57" s="97">
        <v>45734</v>
      </c>
      <c r="Q57" s="175">
        <v>923.5</v>
      </c>
      <c r="R57" s="102">
        <f t="shared" si="2"/>
        <v>2.925606018389515E-2</v>
      </c>
      <c r="T57" s="97">
        <v>45734</v>
      </c>
      <c r="U57" s="175">
        <v>33.56</v>
      </c>
      <c r="V57" s="102">
        <f t="shared" si="3"/>
        <v>9.0198436560433581E-3</v>
      </c>
      <c r="X57" s="97">
        <v>45734</v>
      </c>
      <c r="Y57" s="175">
        <v>1018.05</v>
      </c>
      <c r="Z57" s="102">
        <f>Y57/Y56-1</f>
        <v>1.2280003977329201E-2</v>
      </c>
      <c r="AA57" s="178"/>
      <c r="AB57" s="97">
        <v>45734</v>
      </c>
      <c r="AC57" s="175">
        <v>154.66</v>
      </c>
      <c r="AD57" s="102">
        <f t="shared" si="4"/>
        <v>1.8773466833541974E-2</v>
      </c>
    </row>
    <row r="58" spans="2:30" x14ac:dyDescent="0.3">
      <c r="B58" s="52" t="s">
        <v>893</v>
      </c>
      <c r="C58" s="52" t="s">
        <v>894</v>
      </c>
      <c r="D58" s="97">
        <v>45735</v>
      </c>
      <c r="E58" s="175">
        <v>113.23</v>
      </c>
      <c r="F58" s="102">
        <f t="shared" si="0"/>
        <v>3.9665779083647212E-2</v>
      </c>
      <c r="H58" s="97">
        <v>45735</v>
      </c>
      <c r="I58" s="175">
        <v>22907.599999999999</v>
      </c>
      <c r="J58" s="102">
        <f t="shared" si="1"/>
        <v>3.2100830767747279E-3</v>
      </c>
      <c r="P58" s="97">
        <v>45735</v>
      </c>
      <c r="Q58" s="175">
        <v>925</v>
      </c>
      <c r="R58" s="102">
        <f t="shared" si="2"/>
        <v>1.6242555495398214E-3</v>
      </c>
      <c r="T58" s="97">
        <v>45735</v>
      </c>
      <c r="U58" s="175">
        <v>35.9</v>
      </c>
      <c r="V58" s="102">
        <f t="shared" si="3"/>
        <v>6.9725864123956871E-2</v>
      </c>
      <c r="X58" s="97">
        <v>45735</v>
      </c>
      <c r="Y58" s="175">
        <v>1033.3499999999999</v>
      </c>
      <c r="Z58" s="102">
        <f>Y58/Y57-1</f>
        <v>1.502873139826133E-2</v>
      </c>
      <c r="AA58" s="178"/>
      <c r="AB58" s="97">
        <v>45735</v>
      </c>
      <c r="AC58" s="175">
        <v>158.6</v>
      </c>
      <c r="AD58" s="102">
        <f t="shared" si="4"/>
        <v>2.5475236001551771E-2</v>
      </c>
    </row>
    <row r="59" spans="2:30" x14ac:dyDescent="0.3">
      <c r="B59" s="52" t="s">
        <v>893</v>
      </c>
      <c r="C59" s="52" t="s">
        <v>894</v>
      </c>
      <c r="D59" s="97">
        <v>45736</v>
      </c>
      <c r="E59" s="175">
        <v>113.96</v>
      </c>
      <c r="F59" s="102">
        <f t="shared" si="0"/>
        <v>6.447054667490848E-3</v>
      </c>
      <c r="H59" s="97">
        <v>45736</v>
      </c>
      <c r="I59" s="175">
        <v>23190.65</v>
      </c>
      <c r="J59" s="102">
        <f t="shared" si="1"/>
        <v>1.2356161273987754E-2</v>
      </c>
      <c r="P59" s="97">
        <v>45736</v>
      </c>
      <c r="Q59" s="175">
        <v>926.2</v>
      </c>
      <c r="R59" s="102">
        <f t="shared" si="2"/>
        <v>1.2972972972973285E-3</v>
      </c>
      <c r="T59" s="97">
        <v>45736</v>
      </c>
      <c r="U59" s="175">
        <v>35.68</v>
      </c>
      <c r="V59" s="102">
        <f t="shared" si="3"/>
        <v>-6.1281337047353057E-3</v>
      </c>
      <c r="X59" s="97">
        <v>45736</v>
      </c>
      <c r="Y59" s="175">
        <v>1050.25</v>
      </c>
      <c r="Z59" s="102">
        <f>Y59/Y58-1</f>
        <v>1.6354574926211063E-2</v>
      </c>
      <c r="AA59" s="178"/>
      <c r="AB59" s="97">
        <v>45736</v>
      </c>
      <c r="AC59" s="175">
        <v>159.04</v>
      </c>
      <c r="AD59" s="102">
        <f t="shared" si="4"/>
        <v>2.7742749054224802E-3</v>
      </c>
    </row>
    <row r="60" spans="2:30" x14ac:dyDescent="0.3">
      <c r="B60" s="52" t="s">
        <v>893</v>
      </c>
      <c r="C60" s="52" t="s">
        <v>894</v>
      </c>
      <c r="D60" s="97">
        <v>45737</v>
      </c>
      <c r="E60" s="175">
        <v>115.3</v>
      </c>
      <c r="F60" s="102">
        <f t="shared" si="0"/>
        <v>1.1758511758511725E-2</v>
      </c>
      <c r="H60" s="97">
        <v>45737</v>
      </c>
      <c r="I60" s="175">
        <v>23350.400000000001</v>
      </c>
      <c r="J60" s="102">
        <f t="shared" si="1"/>
        <v>6.8885520673203082E-3</v>
      </c>
      <c r="P60" s="97">
        <v>45737</v>
      </c>
      <c r="Q60" s="175">
        <v>914.3</v>
      </c>
      <c r="R60" s="102">
        <f t="shared" si="2"/>
        <v>-1.2848196933707756E-2</v>
      </c>
      <c r="T60" s="97">
        <v>45737</v>
      </c>
      <c r="U60" s="175">
        <v>36.409999999999997</v>
      </c>
      <c r="V60" s="102">
        <f t="shared" si="3"/>
        <v>2.0459641255605288E-2</v>
      </c>
      <c r="X60" s="97">
        <v>45737</v>
      </c>
      <c r="Y60" s="175">
        <v>1058.7</v>
      </c>
      <c r="Z60" s="102">
        <f>Y60/Y59-1</f>
        <v>8.0457034039513875E-3</v>
      </c>
      <c r="AA60" s="178"/>
      <c r="AB60" s="97">
        <v>45737</v>
      </c>
      <c r="AC60" s="175">
        <v>157.28</v>
      </c>
      <c r="AD60" s="102">
        <f t="shared" si="4"/>
        <v>-1.1066398390341958E-2</v>
      </c>
    </row>
    <row r="61" spans="2:30" x14ac:dyDescent="0.3">
      <c r="B61" s="52" t="s">
        <v>893</v>
      </c>
      <c r="C61" s="52" t="s">
        <v>894</v>
      </c>
      <c r="D61" s="97">
        <v>45740</v>
      </c>
      <c r="E61" s="175">
        <v>117.24</v>
      </c>
      <c r="F61" s="102">
        <f t="shared" si="0"/>
        <v>1.6825672159583638E-2</v>
      </c>
      <c r="H61" s="97">
        <v>45740</v>
      </c>
      <c r="I61" s="175">
        <v>23658.35</v>
      </c>
      <c r="J61" s="102">
        <f t="shared" si="1"/>
        <v>1.3188210908592346E-2</v>
      </c>
      <c r="P61" s="97">
        <v>45740</v>
      </c>
      <c r="Q61" s="175">
        <v>922.75</v>
      </c>
      <c r="R61" s="102">
        <f t="shared" si="2"/>
        <v>9.2420430930766351E-3</v>
      </c>
      <c r="T61" s="97">
        <v>45740</v>
      </c>
      <c r="U61" s="175">
        <v>36.270000000000003</v>
      </c>
      <c r="V61" s="102">
        <f t="shared" si="3"/>
        <v>-3.8450975006864008E-3</v>
      </c>
      <c r="X61" s="97">
        <v>45740</v>
      </c>
      <c r="Y61" s="175">
        <v>1061.3499999999999</v>
      </c>
      <c r="Z61" s="102">
        <f>Y61/Y60-1</f>
        <v>2.5030698025878539E-3</v>
      </c>
      <c r="AA61" s="178"/>
      <c r="AB61" s="97">
        <v>45740</v>
      </c>
      <c r="AC61" s="175">
        <v>158.41999999999999</v>
      </c>
      <c r="AD61" s="102">
        <f t="shared" si="4"/>
        <v>7.2482197355034916E-3</v>
      </c>
    </row>
    <row r="62" spans="2:30" x14ac:dyDescent="0.3">
      <c r="B62" s="52" t="s">
        <v>893</v>
      </c>
      <c r="C62" s="52" t="s">
        <v>894</v>
      </c>
      <c r="D62" s="97">
        <v>45741</v>
      </c>
      <c r="E62" s="175">
        <v>114.7</v>
      </c>
      <c r="F62" s="102">
        <f t="shared" si="0"/>
        <v>-2.1664960764244179E-2</v>
      </c>
      <c r="H62" s="97">
        <v>45741</v>
      </c>
      <c r="I62" s="175">
        <v>23668.65</v>
      </c>
      <c r="J62" s="102">
        <f t="shared" si="1"/>
        <v>4.353642582852757E-4</v>
      </c>
      <c r="P62" s="97">
        <v>45741</v>
      </c>
      <c r="Q62" s="175">
        <v>908.8</v>
      </c>
      <c r="R62" s="102">
        <f t="shared" si="2"/>
        <v>-1.5117854240043416E-2</v>
      </c>
      <c r="T62" s="97">
        <v>45741</v>
      </c>
      <c r="U62" s="175">
        <v>35.07</v>
      </c>
      <c r="V62" s="102">
        <f t="shared" si="3"/>
        <v>-3.3085194375517046E-2</v>
      </c>
      <c r="X62" s="97">
        <v>45741</v>
      </c>
      <c r="Y62" s="175">
        <v>1061.7</v>
      </c>
      <c r="Z62" s="102">
        <f>Y62/Y61-1</f>
        <v>3.2976869081835503E-4</v>
      </c>
      <c r="AA62" s="178"/>
      <c r="AB62" s="97">
        <v>45741</v>
      </c>
      <c r="AC62" s="175">
        <v>156.72999999999999</v>
      </c>
      <c r="AD62" s="102">
        <f t="shared" si="4"/>
        <v>-1.0667844969069584E-2</v>
      </c>
    </row>
    <row r="63" spans="2:30" x14ac:dyDescent="0.3">
      <c r="B63" s="52" t="s">
        <v>893</v>
      </c>
      <c r="C63" s="52" t="s">
        <v>894</v>
      </c>
      <c r="D63" s="97">
        <v>45742</v>
      </c>
      <c r="E63" s="175">
        <v>113.29</v>
      </c>
      <c r="F63" s="102">
        <f t="shared" si="0"/>
        <v>-1.2292938099389694E-2</v>
      </c>
      <c r="H63" s="97">
        <v>45742</v>
      </c>
      <c r="I63" s="175">
        <v>23486.85</v>
      </c>
      <c r="J63" s="102">
        <f t="shared" si="1"/>
        <v>-7.6810464475161044E-3</v>
      </c>
      <c r="P63" s="97">
        <v>45742</v>
      </c>
      <c r="Q63" s="175">
        <v>899.85</v>
      </c>
      <c r="R63" s="102">
        <f t="shared" si="2"/>
        <v>-9.8481514084506339E-3</v>
      </c>
      <c r="T63" s="97">
        <v>45742</v>
      </c>
      <c r="U63" s="175">
        <v>34.049999999999997</v>
      </c>
      <c r="V63" s="102">
        <f t="shared" si="3"/>
        <v>-2.9084687767322537E-2</v>
      </c>
      <c r="X63" s="97">
        <v>45742</v>
      </c>
      <c r="Y63" s="175">
        <v>1056.45</v>
      </c>
      <c r="Z63" s="102">
        <f>Y63/Y62-1</f>
        <v>-4.944899689177773E-3</v>
      </c>
      <c r="AA63" s="178"/>
      <c r="AB63" s="97">
        <v>45742</v>
      </c>
      <c r="AC63" s="175">
        <v>155.81</v>
      </c>
      <c r="AD63" s="102">
        <f t="shared" si="4"/>
        <v>-5.8699674599629326E-3</v>
      </c>
    </row>
    <row r="64" spans="2:30" x14ac:dyDescent="0.3">
      <c r="B64" s="52" t="s">
        <v>893</v>
      </c>
      <c r="C64" s="52" t="s">
        <v>894</v>
      </c>
      <c r="D64" s="97">
        <v>45743</v>
      </c>
      <c r="E64" s="175">
        <v>113.88</v>
      </c>
      <c r="F64" s="102">
        <f t="shared" si="0"/>
        <v>5.2078735987288738E-3</v>
      </c>
      <c r="H64" s="97">
        <v>45743</v>
      </c>
      <c r="I64" s="175">
        <v>23591.95</v>
      </c>
      <c r="J64" s="102">
        <f t="shared" si="1"/>
        <v>4.4748444342259663E-3</v>
      </c>
      <c r="P64" s="97">
        <v>45743</v>
      </c>
      <c r="Q64" s="175">
        <v>916.05</v>
      </c>
      <c r="R64" s="102">
        <f t="shared" si="2"/>
        <v>1.8003000500083299E-2</v>
      </c>
      <c r="T64" s="97">
        <v>45743</v>
      </c>
      <c r="U64" s="175">
        <v>33.68</v>
      </c>
      <c r="V64" s="102">
        <f t="shared" si="3"/>
        <v>-1.086637298091031E-2</v>
      </c>
      <c r="X64" s="97">
        <v>45743</v>
      </c>
      <c r="Y64" s="175">
        <v>1059.75</v>
      </c>
      <c r="Z64" s="102">
        <f>Y64/Y63-1</f>
        <v>3.1236688910976085E-3</v>
      </c>
      <c r="AA64" s="178"/>
      <c r="AB64" s="97">
        <v>45743</v>
      </c>
      <c r="AC64" s="175">
        <v>155.41999999999999</v>
      </c>
      <c r="AD64" s="102">
        <f t="shared" si="4"/>
        <v>-2.5030485848149819E-3</v>
      </c>
    </row>
    <row r="65" spans="2:30" x14ac:dyDescent="0.3">
      <c r="B65" s="52" t="s">
        <v>893</v>
      </c>
      <c r="C65" s="52" t="s">
        <v>894</v>
      </c>
      <c r="D65" s="97">
        <v>45744</v>
      </c>
      <c r="E65" s="175">
        <v>115.18</v>
      </c>
      <c r="F65" s="102">
        <f t="shared" si="0"/>
        <v>1.1415525114155445E-2</v>
      </c>
      <c r="H65" s="97">
        <v>45744</v>
      </c>
      <c r="I65" s="175">
        <v>23519.35</v>
      </c>
      <c r="J65" s="102">
        <f t="shared" si="1"/>
        <v>-3.0773208658039231E-3</v>
      </c>
      <c r="P65" s="97">
        <v>45744</v>
      </c>
      <c r="Q65" s="175">
        <v>912.3</v>
      </c>
      <c r="R65" s="102">
        <f t="shared" si="2"/>
        <v>-4.0936630096610749E-3</v>
      </c>
      <c r="T65" s="97">
        <v>45744</v>
      </c>
      <c r="U65" s="175">
        <v>33.36</v>
      </c>
      <c r="V65" s="102">
        <f t="shared" si="3"/>
        <v>-9.5011876484560887E-3</v>
      </c>
      <c r="X65" s="97">
        <v>45744</v>
      </c>
      <c r="Y65" s="175">
        <v>1063.2</v>
      </c>
      <c r="Z65" s="102">
        <f>Y65/Y64-1</f>
        <v>3.2554847841472778E-3</v>
      </c>
      <c r="AA65" s="178"/>
      <c r="AB65" s="97">
        <v>45744</v>
      </c>
      <c r="AC65" s="175">
        <v>154.24</v>
      </c>
      <c r="AD65" s="102">
        <f t="shared" si="4"/>
        <v>-7.5923304594002206E-3</v>
      </c>
    </row>
    <row r="66" spans="2:30" x14ac:dyDescent="0.3">
      <c r="B66" s="52" t="s">
        <v>893</v>
      </c>
      <c r="C66" s="52" t="s">
        <v>894</v>
      </c>
      <c r="D66" s="97">
        <v>45748</v>
      </c>
      <c r="E66" s="175">
        <v>116.88</v>
      </c>
      <c r="F66" s="102">
        <f t="shared" si="0"/>
        <v>1.4759506858829541E-2</v>
      </c>
      <c r="H66" s="97">
        <v>45748</v>
      </c>
      <c r="I66" s="175">
        <v>23165.7</v>
      </c>
      <c r="J66" s="102">
        <f t="shared" si="1"/>
        <v>-1.5036555006834651E-2</v>
      </c>
      <c r="P66" s="97">
        <v>45748</v>
      </c>
      <c r="Q66" s="175">
        <v>901.5</v>
      </c>
      <c r="R66" s="102">
        <f t="shared" si="2"/>
        <v>-1.1838211114764796E-2</v>
      </c>
      <c r="T66" s="97">
        <v>45748</v>
      </c>
      <c r="U66" s="175">
        <v>34.15</v>
      </c>
      <c r="V66" s="102">
        <f t="shared" si="3"/>
        <v>2.3681055155875264E-2</v>
      </c>
      <c r="X66" s="97">
        <v>45748</v>
      </c>
      <c r="Y66" s="175">
        <v>1056.25</v>
      </c>
      <c r="Z66" s="102">
        <f>Y66/Y65-1</f>
        <v>-6.5368698269375747E-3</v>
      </c>
      <c r="AA66" s="178"/>
      <c r="AB66" s="97">
        <v>45748</v>
      </c>
      <c r="AC66" s="175">
        <v>153.12</v>
      </c>
      <c r="AD66" s="102">
        <f t="shared" si="4"/>
        <v>-7.2614107883817169E-3</v>
      </c>
    </row>
    <row r="67" spans="2:30" x14ac:dyDescent="0.3">
      <c r="B67" s="52" t="s">
        <v>893</v>
      </c>
      <c r="C67" s="52" t="s">
        <v>894</v>
      </c>
      <c r="D67" s="97">
        <v>45749</v>
      </c>
      <c r="E67" s="175">
        <v>118.7</v>
      </c>
      <c r="F67" s="102">
        <f t="shared" si="0"/>
        <v>1.5571526351813914E-2</v>
      </c>
      <c r="H67" s="97">
        <v>45749</v>
      </c>
      <c r="I67" s="175">
        <v>23332.35</v>
      </c>
      <c r="J67" s="102">
        <f t="shared" si="1"/>
        <v>7.1938253538634811E-3</v>
      </c>
      <c r="P67" s="97">
        <v>45749</v>
      </c>
      <c r="Q67" s="175">
        <v>909.55</v>
      </c>
      <c r="R67" s="102">
        <f t="shared" si="2"/>
        <v>8.9295618413753886E-3</v>
      </c>
      <c r="T67" s="97">
        <v>45749</v>
      </c>
      <c r="U67" s="175">
        <v>35.03</v>
      </c>
      <c r="V67" s="102">
        <f t="shared" si="3"/>
        <v>2.5768667642752652E-2</v>
      </c>
      <c r="X67" s="97">
        <v>45749</v>
      </c>
      <c r="Y67" s="175">
        <v>1055.9000000000001</v>
      </c>
      <c r="Z67" s="102">
        <f>Y67/Y66-1</f>
        <v>-3.3136094674546257E-4</v>
      </c>
      <c r="AA67" s="178"/>
      <c r="AB67" s="97">
        <v>45749</v>
      </c>
      <c r="AC67" s="175">
        <v>154.69</v>
      </c>
      <c r="AD67" s="102">
        <f t="shared" si="4"/>
        <v>1.0253396029258122E-2</v>
      </c>
    </row>
    <row r="68" spans="2:30" x14ac:dyDescent="0.3">
      <c r="B68" s="52" t="s">
        <v>893</v>
      </c>
      <c r="C68" s="52" t="s">
        <v>894</v>
      </c>
      <c r="D68" s="97">
        <v>45750</v>
      </c>
      <c r="E68" s="175">
        <v>118.54</v>
      </c>
      <c r="F68" s="102">
        <f t="shared" si="0"/>
        <v>-1.347935973041281E-3</v>
      </c>
      <c r="H68" s="97">
        <v>45750</v>
      </c>
      <c r="I68" s="175">
        <v>23250.1</v>
      </c>
      <c r="J68" s="102">
        <f t="shared" si="1"/>
        <v>-3.5251485598322141E-3</v>
      </c>
      <c r="P68" s="97">
        <v>45750</v>
      </c>
      <c r="Q68" s="175">
        <v>905.2</v>
      </c>
      <c r="R68" s="102">
        <f t="shared" si="2"/>
        <v>-4.7825847946786348E-3</v>
      </c>
      <c r="T68" s="97">
        <v>45750</v>
      </c>
      <c r="U68" s="175">
        <v>36.03</v>
      </c>
      <c r="V68" s="102">
        <f t="shared" si="3"/>
        <v>2.8546959748786849E-2</v>
      </c>
      <c r="X68" s="97">
        <v>45750</v>
      </c>
      <c r="Y68" s="175">
        <v>1044.05</v>
      </c>
      <c r="Z68" s="102">
        <f>Y68/Y67-1</f>
        <v>-1.1222653660384663E-2</v>
      </c>
      <c r="AA68" s="178"/>
      <c r="AB68" s="97">
        <v>45750</v>
      </c>
      <c r="AC68" s="175">
        <v>153.62</v>
      </c>
      <c r="AD68" s="102">
        <f t="shared" si="4"/>
        <v>-6.9170599263042032E-3</v>
      </c>
    </row>
    <row r="69" spans="2:30" x14ac:dyDescent="0.3">
      <c r="B69" s="52" t="s">
        <v>893</v>
      </c>
      <c r="C69" s="52" t="s">
        <v>894</v>
      </c>
      <c r="D69" s="97">
        <v>45751</v>
      </c>
      <c r="E69" s="175">
        <v>112.6</v>
      </c>
      <c r="F69" s="102">
        <f t="shared" si="0"/>
        <v>-5.0109667622743492E-2</v>
      </c>
      <c r="H69" s="97">
        <v>45751</v>
      </c>
      <c r="I69" s="175">
        <v>22904.45</v>
      </c>
      <c r="J69" s="102">
        <f t="shared" si="1"/>
        <v>-1.4866602724289302E-2</v>
      </c>
      <c r="P69" s="97">
        <v>45751</v>
      </c>
      <c r="Q69" s="175">
        <v>850.1</v>
      </c>
      <c r="R69" s="102">
        <f t="shared" si="2"/>
        <v>-6.0870525850640789E-2</v>
      </c>
      <c r="T69" s="97">
        <v>45751</v>
      </c>
      <c r="U69" s="175">
        <v>34.67</v>
      </c>
      <c r="V69" s="102">
        <f t="shared" si="3"/>
        <v>-3.7746322509020214E-2</v>
      </c>
      <c r="X69" s="97">
        <v>45751</v>
      </c>
      <c r="Y69" s="175">
        <v>1005.75</v>
      </c>
      <c r="Z69" s="102">
        <f>Y69/Y68-1</f>
        <v>-3.6684066855035669E-2</v>
      </c>
      <c r="AA69" s="178"/>
      <c r="AB69" s="97">
        <v>45751</v>
      </c>
      <c r="AC69" s="175">
        <v>140.38999999999999</v>
      </c>
      <c r="AD69" s="102">
        <f t="shared" si="4"/>
        <v>-8.6121598750162898E-2</v>
      </c>
    </row>
    <row r="70" spans="2:30" x14ac:dyDescent="0.3">
      <c r="B70" s="52" t="s">
        <v>893</v>
      </c>
      <c r="C70" s="52" t="s">
        <v>894</v>
      </c>
      <c r="D70" s="97">
        <v>45754</v>
      </c>
      <c r="E70" s="175">
        <v>104.63</v>
      </c>
      <c r="F70" s="102">
        <f t="shared" ref="F70:F133" si="5">E70/E69-1</f>
        <v>-7.0781527531083466E-2</v>
      </c>
      <c r="H70" s="97">
        <v>45754</v>
      </c>
      <c r="I70" s="175">
        <v>22161.599999999999</v>
      </c>
      <c r="J70" s="102">
        <f t="shared" ref="J70:J133" si="6">I70/I69-1</f>
        <v>-3.2432562231356932E-2</v>
      </c>
      <c r="P70" s="97">
        <v>45754</v>
      </c>
      <c r="Q70" s="175">
        <v>791.05</v>
      </c>
      <c r="R70" s="102">
        <f t="shared" ref="R70:R133" si="7">Q70/Q69-1</f>
        <v>-6.9462416186331088E-2</v>
      </c>
      <c r="T70" s="97">
        <v>45754</v>
      </c>
      <c r="U70" s="175">
        <v>33.04</v>
      </c>
      <c r="V70" s="102">
        <f t="shared" si="3"/>
        <v>-4.7014710124026582E-2</v>
      </c>
      <c r="X70" s="97">
        <v>45754</v>
      </c>
      <c r="Y70" s="175">
        <v>930.3</v>
      </c>
      <c r="Z70" s="102">
        <f>Y70/Y69-1</f>
        <v>-7.5018642803877711E-2</v>
      </c>
      <c r="AA70" s="178"/>
      <c r="AB70" s="97">
        <v>45754</v>
      </c>
      <c r="AC70" s="175">
        <v>129.47999999999999</v>
      </c>
      <c r="AD70" s="102">
        <f t="shared" ref="AD70:AD133" si="8">AC70/AC69-1</f>
        <v>-7.7712087755538173E-2</v>
      </c>
    </row>
    <row r="71" spans="2:30" x14ac:dyDescent="0.3">
      <c r="B71" s="52" t="s">
        <v>893</v>
      </c>
      <c r="C71" s="52" t="s">
        <v>894</v>
      </c>
      <c r="D71" s="97">
        <v>45755</v>
      </c>
      <c r="E71" s="175">
        <v>104.83</v>
      </c>
      <c r="F71" s="102">
        <f t="shared" si="5"/>
        <v>1.911497658415362E-3</v>
      </c>
      <c r="H71" s="97">
        <v>45755</v>
      </c>
      <c r="I71" s="175">
        <v>22535.85</v>
      </c>
      <c r="J71" s="102">
        <f t="shared" si="6"/>
        <v>1.68873186051548E-2</v>
      </c>
      <c r="P71" s="97">
        <v>45755</v>
      </c>
      <c r="Q71" s="175">
        <v>801.85</v>
      </c>
      <c r="R71" s="102">
        <f t="shared" si="7"/>
        <v>1.365274002907535E-2</v>
      </c>
      <c r="T71" s="97">
        <v>45755</v>
      </c>
      <c r="U71" s="175">
        <v>33.869999999999997</v>
      </c>
      <c r="V71" s="102">
        <f t="shared" ref="V71:V134" si="9">U71/U70-1</f>
        <v>2.5121065375302676E-2</v>
      </c>
      <c r="X71" s="97">
        <v>45755</v>
      </c>
      <c r="Y71" s="175">
        <v>954.6</v>
      </c>
      <c r="Z71" s="102">
        <f>Y71/Y70-1</f>
        <v>2.6120606256046619E-2</v>
      </c>
      <c r="AA71" s="178"/>
      <c r="AB71" s="97">
        <v>45755</v>
      </c>
      <c r="AC71" s="175">
        <v>130.28</v>
      </c>
      <c r="AD71" s="102">
        <f t="shared" si="8"/>
        <v>6.1785603954278567E-3</v>
      </c>
    </row>
    <row r="72" spans="2:30" x14ac:dyDescent="0.3">
      <c r="B72" s="52" t="s">
        <v>893</v>
      </c>
      <c r="C72" s="52" t="s">
        <v>894</v>
      </c>
      <c r="D72" s="97">
        <v>45756</v>
      </c>
      <c r="E72" s="175">
        <v>104.97</v>
      </c>
      <c r="F72" s="102">
        <f t="shared" si="5"/>
        <v>1.3354955642468358E-3</v>
      </c>
      <c r="H72" s="97">
        <v>45756</v>
      </c>
      <c r="I72" s="175">
        <v>22399.15</v>
      </c>
      <c r="J72" s="102">
        <f t="shared" si="6"/>
        <v>-6.0658905699140231E-3</v>
      </c>
      <c r="P72" s="97">
        <v>45756</v>
      </c>
      <c r="Q72" s="175">
        <v>786.9</v>
      </c>
      <c r="R72" s="102">
        <f t="shared" si="7"/>
        <v>-1.8644384860011298E-2</v>
      </c>
      <c r="T72" s="97">
        <v>45756</v>
      </c>
      <c r="U72" s="175">
        <v>33.78</v>
      </c>
      <c r="V72" s="102">
        <f t="shared" si="9"/>
        <v>-2.6572187776792155E-3</v>
      </c>
      <c r="X72" s="97">
        <v>45756</v>
      </c>
      <c r="Y72" s="175">
        <v>945.55</v>
      </c>
      <c r="Z72" s="102">
        <f>Y72/Y71-1</f>
        <v>-9.4804106432013757E-3</v>
      </c>
      <c r="AA72" s="178"/>
      <c r="AB72" s="97">
        <v>45756</v>
      </c>
      <c r="AC72" s="175">
        <v>127.18</v>
      </c>
      <c r="AD72" s="102">
        <f t="shared" si="8"/>
        <v>-2.3794903285231817E-2</v>
      </c>
    </row>
    <row r="73" spans="2:30" x14ac:dyDescent="0.3">
      <c r="B73" s="52" t="s">
        <v>893</v>
      </c>
      <c r="C73" s="52" t="s">
        <v>894</v>
      </c>
      <c r="D73" s="97">
        <v>45758</v>
      </c>
      <c r="E73" s="175">
        <v>108.34</v>
      </c>
      <c r="F73" s="102">
        <f t="shared" si="5"/>
        <v>3.2104410784033588E-2</v>
      </c>
      <c r="H73" s="97">
        <v>45758</v>
      </c>
      <c r="I73" s="175">
        <v>22828.55</v>
      </c>
      <c r="J73" s="102">
        <f t="shared" si="6"/>
        <v>1.91703703042303E-2</v>
      </c>
      <c r="P73" s="97">
        <v>45758</v>
      </c>
      <c r="Q73" s="175">
        <v>805.65</v>
      </c>
      <c r="R73" s="102">
        <f t="shared" si="7"/>
        <v>2.3827678231033156E-2</v>
      </c>
      <c r="T73" s="97">
        <v>45758</v>
      </c>
      <c r="U73" s="175">
        <v>35.04</v>
      </c>
      <c r="V73" s="102">
        <f t="shared" si="9"/>
        <v>3.7300177619893349E-2</v>
      </c>
      <c r="X73" s="97">
        <v>45758</v>
      </c>
      <c r="Y73" s="175">
        <v>990.25</v>
      </c>
      <c r="Z73" s="102">
        <f>Y73/Y72-1</f>
        <v>4.7274073290677343E-2</v>
      </c>
      <c r="AA73" s="178"/>
      <c r="AB73" s="97">
        <v>45758</v>
      </c>
      <c r="AC73" s="175">
        <v>133.41999999999999</v>
      </c>
      <c r="AD73" s="102">
        <f t="shared" si="8"/>
        <v>4.90643182890389E-2</v>
      </c>
    </row>
    <row r="74" spans="2:30" x14ac:dyDescent="0.3">
      <c r="B74" s="52" t="s">
        <v>893</v>
      </c>
      <c r="C74" s="52" t="s">
        <v>894</v>
      </c>
      <c r="D74" s="97">
        <v>45762</v>
      </c>
      <c r="E74" s="175">
        <v>113.25</v>
      </c>
      <c r="F74" s="102">
        <f t="shared" si="5"/>
        <v>4.5320287982278051E-2</v>
      </c>
      <c r="H74" s="97">
        <v>45762</v>
      </c>
      <c r="I74" s="175">
        <v>23328.55</v>
      </c>
      <c r="J74" s="102">
        <f t="shared" si="6"/>
        <v>2.1902398531663314E-2</v>
      </c>
      <c r="P74" s="97">
        <v>45762</v>
      </c>
      <c r="Q74" s="175">
        <v>845.15</v>
      </c>
      <c r="R74" s="102">
        <f t="shared" si="7"/>
        <v>4.902873456215473E-2</v>
      </c>
      <c r="T74" s="97">
        <v>45762</v>
      </c>
      <c r="U74" s="175">
        <v>35.49</v>
      </c>
      <c r="V74" s="102">
        <f t="shared" si="9"/>
        <v>1.2842465753424737E-2</v>
      </c>
      <c r="X74" s="97">
        <v>45762</v>
      </c>
      <c r="Y74" s="175">
        <v>1008</v>
      </c>
      <c r="Z74" s="102">
        <f>Y74/Y73-1</f>
        <v>1.7924766473112808E-2</v>
      </c>
      <c r="AA74" s="178"/>
      <c r="AB74" s="97">
        <v>45762</v>
      </c>
      <c r="AC74" s="175">
        <v>136.41</v>
      </c>
      <c r="AD74" s="102">
        <f t="shared" si="8"/>
        <v>2.2410433218408077E-2</v>
      </c>
    </row>
    <row r="75" spans="2:30" x14ac:dyDescent="0.3">
      <c r="B75" s="52" t="s">
        <v>893</v>
      </c>
      <c r="C75" s="52" t="s">
        <v>894</v>
      </c>
      <c r="D75" s="97">
        <v>45763</v>
      </c>
      <c r="E75" s="175">
        <v>115.3</v>
      </c>
      <c r="F75" s="102">
        <f t="shared" si="5"/>
        <v>1.8101545253863094E-2</v>
      </c>
      <c r="H75" s="97">
        <v>45763</v>
      </c>
      <c r="I75" s="175">
        <v>23437.200000000001</v>
      </c>
      <c r="J75" s="102">
        <f t="shared" si="6"/>
        <v>4.6573833350123106E-3</v>
      </c>
      <c r="P75" s="97">
        <v>45763</v>
      </c>
      <c r="Q75" s="175">
        <v>854.25</v>
      </c>
      <c r="R75" s="102">
        <f t="shared" si="7"/>
        <v>1.0767319410755594E-2</v>
      </c>
      <c r="T75" s="97">
        <v>45763</v>
      </c>
      <c r="U75" s="175">
        <v>35.76</v>
      </c>
      <c r="V75" s="102">
        <f t="shared" si="9"/>
        <v>7.6077768385458544E-3</v>
      </c>
      <c r="X75" s="97">
        <v>45763</v>
      </c>
      <c r="Y75" s="175">
        <v>1009.4</v>
      </c>
      <c r="Z75" s="102">
        <f>Y75/Y74-1</f>
        <v>1.388888888888884E-3</v>
      </c>
      <c r="AA75" s="178"/>
      <c r="AB75" s="97">
        <v>45763</v>
      </c>
      <c r="AC75" s="175">
        <v>136.97</v>
      </c>
      <c r="AD75" s="102">
        <f t="shared" si="8"/>
        <v>4.1052708745692446E-3</v>
      </c>
    </row>
    <row r="76" spans="2:30" x14ac:dyDescent="0.3">
      <c r="B76" s="52" t="s">
        <v>893</v>
      </c>
      <c r="C76" s="52" t="s">
        <v>894</v>
      </c>
      <c r="D76" s="97">
        <v>45764</v>
      </c>
      <c r="E76" s="175">
        <v>113.96</v>
      </c>
      <c r="F76" s="102">
        <f t="shared" si="5"/>
        <v>-1.1621856027753674E-2</v>
      </c>
      <c r="H76" s="97">
        <v>45764</v>
      </c>
      <c r="I76" s="175">
        <v>23851.65</v>
      </c>
      <c r="J76" s="102">
        <f t="shared" si="6"/>
        <v>1.7683426347857356E-2</v>
      </c>
      <c r="P76" s="97">
        <v>45764</v>
      </c>
      <c r="Q76" s="175">
        <v>881.7</v>
      </c>
      <c r="R76" s="102">
        <f t="shared" si="7"/>
        <v>3.2133450395083418E-2</v>
      </c>
      <c r="T76" s="97">
        <v>45764</v>
      </c>
      <c r="U76" s="175">
        <v>35.9</v>
      </c>
      <c r="V76" s="102">
        <f t="shared" si="9"/>
        <v>3.9149888143177325E-3</v>
      </c>
      <c r="X76" s="97">
        <v>45764</v>
      </c>
      <c r="Y76" s="175">
        <v>1007.2</v>
      </c>
      <c r="Z76" s="102">
        <f>Y76/Y75-1</f>
        <v>-2.1795125817316574E-3</v>
      </c>
      <c r="AA76" s="178"/>
      <c r="AB76" s="97">
        <v>45764</v>
      </c>
      <c r="AC76" s="175">
        <v>137.13999999999999</v>
      </c>
      <c r="AD76" s="102">
        <f t="shared" si="8"/>
        <v>1.2411476965759061E-3</v>
      </c>
    </row>
    <row r="77" spans="2:30" x14ac:dyDescent="0.3">
      <c r="B77" s="52" t="s">
        <v>893</v>
      </c>
      <c r="C77" s="52" t="s">
        <v>894</v>
      </c>
      <c r="D77" s="97">
        <v>45768</v>
      </c>
      <c r="E77" s="175">
        <v>115.99</v>
      </c>
      <c r="F77" s="102">
        <f t="shared" si="5"/>
        <v>1.7813267813267863E-2</v>
      </c>
      <c r="H77" s="97">
        <v>45768</v>
      </c>
      <c r="I77" s="175">
        <v>24125.55</v>
      </c>
      <c r="J77" s="102">
        <f t="shared" si="6"/>
        <v>1.1483482274811108E-2</v>
      </c>
      <c r="P77" s="97">
        <v>45768</v>
      </c>
      <c r="Q77" s="175">
        <v>906.4</v>
      </c>
      <c r="R77" s="102">
        <f t="shared" si="7"/>
        <v>2.8014063740501305E-2</v>
      </c>
      <c r="T77" s="97">
        <v>45768</v>
      </c>
      <c r="U77" s="175">
        <v>36.64</v>
      </c>
      <c r="V77" s="102">
        <f t="shared" si="9"/>
        <v>2.0612813370473493E-2</v>
      </c>
      <c r="X77" s="97">
        <v>45768</v>
      </c>
      <c r="Y77" s="175">
        <v>1034</v>
      </c>
      <c r="Z77" s="102">
        <f>Y77/Y76-1</f>
        <v>2.6608419380460546E-2</v>
      </c>
      <c r="AA77" s="178"/>
      <c r="AB77" s="97">
        <v>45768</v>
      </c>
      <c r="AC77" s="175">
        <v>139.18</v>
      </c>
      <c r="AD77" s="102">
        <f t="shared" si="8"/>
        <v>1.4875309902289802E-2</v>
      </c>
    </row>
    <row r="78" spans="2:30" x14ac:dyDescent="0.3">
      <c r="B78" s="52" t="s">
        <v>893</v>
      </c>
      <c r="C78" s="52" t="s">
        <v>894</v>
      </c>
      <c r="D78" s="97">
        <v>45769</v>
      </c>
      <c r="E78" s="175">
        <v>115.98</v>
      </c>
      <c r="F78" s="102">
        <f t="shared" si="5"/>
        <v>-8.6214328821387909E-5</v>
      </c>
      <c r="H78" s="97">
        <v>45769</v>
      </c>
      <c r="I78" s="175">
        <v>24167.25</v>
      </c>
      <c r="J78" s="102">
        <f t="shared" si="6"/>
        <v>1.7284580040661801E-3</v>
      </c>
      <c r="P78" s="97">
        <v>45769</v>
      </c>
      <c r="Q78" s="175">
        <v>914.75</v>
      </c>
      <c r="R78" s="102">
        <f t="shared" si="7"/>
        <v>9.2122683142101813E-3</v>
      </c>
      <c r="T78" s="97">
        <v>45769</v>
      </c>
      <c r="U78" s="175">
        <v>37.35</v>
      </c>
      <c r="V78" s="102">
        <f t="shared" si="9"/>
        <v>1.9377729257642029E-2</v>
      </c>
      <c r="X78" s="97">
        <v>45769</v>
      </c>
      <c r="Y78" s="175">
        <v>1044.2</v>
      </c>
      <c r="Z78" s="102">
        <f>Y78/Y77-1</f>
        <v>9.8646034816247674E-3</v>
      </c>
      <c r="AA78" s="178"/>
      <c r="AB78" s="97">
        <v>45769</v>
      </c>
      <c r="AC78" s="175">
        <v>138.16</v>
      </c>
      <c r="AD78" s="102">
        <f t="shared" si="8"/>
        <v>-7.3286391722949817E-3</v>
      </c>
    </row>
    <row r="79" spans="2:30" x14ac:dyDescent="0.3">
      <c r="B79" s="52" t="s">
        <v>893</v>
      </c>
      <c r="C79" s="52" t="s">
        <v>894</v>
      </c>
      <c r="D79" s="97">
        <v>45770</v>
      </c>
      <c r="E79" s="175">
        <v>116.76</v>
      </c>
      <c r="F79" s="102">
        <f t="shared" si="5"/>
        <v>6.7252974650802155E-3</v>
      </c>
      <c r="H79" s="97">
        <v>45770</v>
      </c>
      <c r="I79" s="175">
        <v>24328.95</v>
      </c>
      <c r="J79" s="102">
        <f t="shared" si="6"/>
        <v>6.6908729789281196E-3</v>
      </c>
      <c r="P79" s="97">
        <v>45770</v>
      </c>
      <c r="Q79" s="175">
        <v>919.05</v>
      </c>
      <c r="R79" s="102">
        <f t="shared" si="7"/>
        <v>4.7007379065318045E-3</v>
      </c>
      <c r="T79" s="97">
        <v>45770</v>
      </c>
      <c r="U79" s="175">
        <v>37.22</v>
      </c>
      <c r="V79" s="102">
        <f t="shared" si="9"/>
        <v>-3.4805890227577185E-3</v>
      </c>
      <c r="X79" s="97">
        <v>45770</v>
      </c>
      <c r="Y79" s="175">
        <v>1039.2</v>
      </c>
      <c r="Z79" s="102">
        <f>Y79/Y78-1</f>
        <v>-4.788354721317778E-3</v>
      </c>
      <c r="AA79" s="178"/>
      <c r="AB79" s="97">
        <v>45770</v>
      </c>
      <c r="AC79" s="175">
        <v>141.16</v>
      </c>
      <c r="AD79" s="102">
        <f t="shared" si="8"/>
        <v>2.1713954834973848E-2</v>
      </c>
    </row>
    <row r="80" spans="2:30" x14ac:dyDescent="0.3">
      <c r="B80" s="52" t="s">
        <v>893</v>
      </c>
      <c r="C80" s="52" t="s">
        <v>894</v>
      </c>
      <c r="D80" s="97">
        <v>45771</v>
      </c>
      <c r="E80" s="175">
        <v>118.03</v>
      </c>
      <c r="F80" s="102">
        <f t="shared" si="5"/>
        <v>1.0877012675573727E-2</v>
      </c>
      <c r="H80" s="97">
        <v>45771</v>
      </c>
      <c r="I80" s="175">
        <v>24246.7</v>
      </c>
      <c r="J80" s="102">
        <f t="shared" si="6"/>
        <v>-3.380745983694311E-3</v>
      </c>
      <c r="P80" s="97">
        <v>45771</v>
      </c>
      <c r="Q80" s="175">
        <v>908</v>
      </c>
      <c r="R80" s="102">
        <f t="shared" si="7"/>
        <v>-1.2023284913769583E-2</v>
      </c>
      <c r="T80" s="97">
        <v>45771</v>
      </c>
      <c r="U80" s="175">
        <v>37.409999999999997</v>
      </c>
      <c r="V80" s="102">
        <f t="shared" si="9"/>
        <v>5.1047823750671739E-3</v>
      </c>
      <c r="X80" s="97">
        <v>45771</v>
      </c>
      <c r="Y80" s="175">
        <v>1044.5</v>
      </c>
      <c r="Z80" s="102">
        <f>Y80/Y79-1</f>
        <v>5.1000769822939773E-3</v>
      </c>
      <c r="AA80" s="178"/>
      <c r="AB80" s="97">
        <v>45771</v>
      </c>
      <c r="AC80" s="175">
        <v>141.52000000000001</v>
      </c>
      <c r="AD80" s="102">
        <f t="shared" si="8"/>
        <v>2.5502975347124757E-3</v>
      </c>
    </row>
    <row r="81" spans="2:30" x14ac:dyDescent="0.3">
      <c r="B81" s="52" t="s">
        <v>893</v>
      </c>
      <c r="C81" s="52" t="s">
        <v>894</v>
      </c>
      <c r="D81" s="97">
        <v>45772</v>
      </c>
      <c r="E81" s="175">
        <v>114.81</v>
      </c>
      <c r="F81" s="102">
        <f t="shared" si="5"/>
        <v>-2.7281199694992764E-2</v>
      </c>
      <c r="H81" s="97">
        <v>45772</v>
      </c>
      <c r="I81" s="175">
        <v>24039.35</v>
      </c>
      <c r="J81" s="102">
        <f t="shared" si="6"/>
        <v>-8.5516791975815964E-3</v>
      </c>
      <c r="P81" s="97">
        <v>45772</v>
      </c>
      <c r="Q81" s="175">
        <v>891.8</v>
      </c>
      <c r="R81" s="102">
        <f t="shared" si="7"/>
        <v>-1.7841409691630061E-2</v>
      </c>
      <c r="T81" s="97">
        <v>45772</v>
      </c>
      <c r="U81" s="175">
        <v>35.35</v>
      </c>
      <c r="V81" s="102">
        <f t="shared" si="9"/>
        <v>-5.5065490510558535E-2</v>
      </c>
      <c r="X81" s="97">
        <v>45772</v>
      </c>
      <c r="Y81" s="175">
        <v>1028.4000000000001</v>
      </c>
      <c r="Z81" s="102">
        <f>Y81/Y80-1</f>
        <v>-1.541407371948289E-2</v>
      </c>
      <c r="AA81" s="178"/>
      <c r="AB81" s="97">
        <v>45772</v>
      </c>
      <c r="AC81" s="175">
        <v>138.85</v>
      </c>
      <c r="AD81" s="102">
        <f t="shared" si="8"/>
        <v>-1.8866591294516732E-2</v>
      </c>
    </row>
    <row r="82" spans="2:30" x14ac:dyDescent="0.3">
      <c r="B82" s="52" t="s">
        <v>893</v>
      </c>
      <c r="C82" s="52" t="s">
        <v>894</v>
      </c>
      <c r="D82" s="97">
        <v>45775</v>
      </c>
      <c r="E82" s="175">
        <v>116.77</v>
      </c>
      <c r="F82" s="102">
        <f t="shared" si="5"/>
        <v>1.7071683651249892E-2</v>
      </c>
      <c r="H82" s="97">
        <v>45775</v>
      </c>
      <c r="I82" s="175">
        <v>24328.5</v>
      </c>
      <c r="J82" s="102">
        <f t="shared" si="6"/>
        <v>1.2028195437896683E-2</v>
      </c>
      <c r="P82" s="97">
        <v>45775</v>
      </c>
      <c r="Q82" s="175">
        <v>907.5</v>
      </c>
      <c r="R82" s="102">
        <f t="shared" si="7"/>
        <v>1.7604844135456377E-2</v>
      </c>
      <c r="T82" s="97">
        <v>45775</v>
      </c>
      <c r="U82" s="175">
        <v>35.43</v>
      </c>
      <c r="V82" s="102">
        <f t="shared" si="9"/>
        <v>2.2630834512022968E-3</v>
      </c>
      <c r="X82" s="97">
        <v>45775</v>
      </c>
      <c r="Y82" s="175">
        <v>1054.4000000000001</v>
      </c>
      <c r="Z82" s="102">
        <f>Y82/Y81-1</f>
        <v>2.5281991443018237E-2</v>
      </c>
      <c r="AA82" s="178"/>
      <c r="AB82" s="97">
        <v>45775</v>
      </c>
      <c r="AC82" s="175">
        <v>142.07</v>
      </c>
      <c r="AD82" s="102">
        <f t="shared" si="8"/>
        <v>2.319049333813461E-2</v>
      </c>
    </row>
    <row r="83" spans="2:30" x14ac:dyDescent="0.3">
      <c r="B83" s="52" t="s">
        <v>893</v>
      </c>
      <c r="C83" s="52" t="s">
        <v>894</v>
      </c>
      <c r="D83" s="97">
        <v>45776</v>
      </c>
      <c r="E83" s="175">
        <v>115.28</v>
      </c>
      <c r="F83" s="102">
        <f t="shared" si="5"/>
        <v>-1.2760126744883027E-2</v>
      </c>
      <c r="H83" s="97">
        <v>45776</v>
      </c>
      <c r="I83" s="175">
        <v>24335.95</v>
      </c>
      <c r="J83" s="102">
        <f t="shared" si="6"/>
        <v>3.0622520911682827E-4</v>
      </c>
      <c r="P83" s="97">
        <v>45776</v>
      </c>
      <c r="Q83" s="175">
        <v>895.45</v>
      </c>
      <c r="R83" s="102">
        <f t="shared" si="7"/>
        <v>-1.3278236914600505E-2</v>
      </c>
      <c r="T83" s="97">
        <v>45776</v>
      </c>
      <c r="U83" s="175">
        <v>35.5</v>
      </c>
      <c r="V83" s="102">
        <f t="shared" si="9"/>
        <v>1.9757267852102967E-3</v>
      </c>
      <c r="X83" s="97">
        <v>45776</v>
      </c>
      <c r="Y83" s="175">
        <v>1035.5999999999999</v>
      </c>
      <c r="Z83" s="102">
        <f>Y83/Y82-1</f>
        <v>-1.7830045523520632E-2</v>
      </c>
      <c r="AA83" s="178"/>
      <c r="AB83" s="97">
        <v>45776</v>
      </c>
      <c r="AC83" s="175">
        <v>141.5</v>
      </c>
      <c r="AD83" s="102">
        <f t="shared" si="8"/>
        <v>-4.0121067079608164E-3</v>
      </c>
    </row>
    <row r="84" spans="2:30" x14ac:dyDescent="0.3">
      <c r="B84" s="52" t="s">
        <v>893</v>
      </c>
      <c r="C84" s="52" t="s">
        <v>894</v>
      </c>
      <c r="D84" s="97">
        <v>45777</v>
      </c>
      <c r="E84" s="175">
        <v>113.71</v>
      </c>
      <c r="F84" s="102">
        <f t="shared" si="5"/>
        <v>-1.3619014573213128E-2</v>
      </c>
      <c r="H84" s="97">
        <v>45777</v>
      </c>
      <c r="I84" s="175">
        <v>24334.2</v>
      </c>
      <c r="J84" s="102">
        <f t="shared" si="6"/>
        <v>-7.1910075423398112E-5</v>
      </c>
      <c r="P84" s="97">
        <v>45777</v>
      </c>
      <c r="Q84" s="175">
        <v>895.65</v>
      </c>
      <c r="R84" s="102">
        <f t="shared" si="7"/>
        <v>2.2335138757045847E-4</v>
      </c>
      <c r="T84" s="97">
        <v>45777</v>
      </c>
      <c r="U84" s="175">
        <v>35.35</v>
      </c>
      <c r="V84" s="102">
        <f t="shared" si="9"/>
        <v>-4.2253521126760507E-3</v>
      </c>
      <c r="X84" s="97">
        <v>45777</v>
      </c>
      <c r="Y84" s="175">
        <v>1029.8</v>
      </c>
      <c r="Z84" s="102">
        <f>Y84/Y83-1</f>
        <v>-5.6006179992275085E-3</v>
      </c>
      <c r="AA84" s="178"/>
      <c r="AB84" s="97">
        <v>45777</v>
      </c>
      <c r="AC84" s="175">
        <v>140.08000000000001</v>
      </c>
      <c r="AD84" s="102">
        <f t="shared" si="8"/>
        <v>-1.0035335689045799E-2</v>
      </c>
    </row>
    <row r="85" spans="2:30" x14ac:dyDescent="0.3">
      <c r="B85" s="52" t="s">
        <v>893</v>
      </c>
      <c r="C85" s="52" t="s">
        <v>894</v>
      </c>
      <c r="D85" s="97">
        <v>45779</v>
      </c>
      <c r="E85" s="175">
        <v>113.22</v>
      </c>
      <c r="F85" s="102">
        <f t="shared" si="5"/>
        <v>-4.3092076334534379E-3</v>
      </c>
      <c r="H85" s="97">
        <v>45779</v>
      </c>
      <c r="I85" s="175">
        <v>24346.7</v>
      </c>
      <c r="J85" s="102">
        <f t="shared" si="6"/>
        <v>5.1368033467302787E-4</v>
      </c>
      <c r="P85" s="97">
        <v>45779</v>
      </c>
      <c r="Q85" s="175">
        <v>897.75</v>
      </c>
      <c r="R85" s="102">
        <f t="shared" si="7"/>
        <v>2.3446658851113966E-3</v>
      </c>
      <c r="T85" s="97">
        <v>45779</v>
      </c>
      <c r="U85" s="175">
        <v>35.21</v>
      </c>
      <c r="V85" s="102">
        <f t="shared" si="9"/>
        <v>-3.9603960396039639E-3</v>
      </c>
      <c r="X85" s="97">
        <v>45779</v>
      </c>
      <c r="Y85" s="175">
        <v>973.2</v>
      </c>
      <c r="Z85" s="102">
        <f>Y85/Y84-1</f>
        <v>-5.4962128568654012E-2</v>
      </c>
      <c r="AA85" s="178"/>
      <c r="AB85" s="97">
        <v>45779</v>
      </c>
      <c r="AC85" s="175">
        <v>141.18</v>
      </c>
      <c r="AD85" s="102">
        <f t="shared" si="8"/>
        <v>7.8526556253568636E-3</v>
      </c>
    </row>
    <row r="86" spans="2:30" x14ac:dyDescent="0.3">
      <c r="B86" s="52" t="s">
        <v>893</v>
      </c>
      <c r="C86" s="52" t="s">
        <v>894</v>
      </c>
      <c r="D86" s="97">
        <v>45782</v>
      </c>
      <c r="E86" s="175">
        <v>114.79</v>
      </c>
      <c r="F86" s="102">
        <f t="shared" si="5"/>
        <v>1.3866807984455054E-2</v>
      </c>
      <c r="H86" s="97">
        <v>45782</v>
      </c>
      <c r="I86" s="175">
        <v>24461.15</v>
      </c>
      <c r="J86" s="102">
        <f t="shared" si="6"/>
        <v>4.7008424139616256E-3</v>
      </c>
      <c r="P86" s="97">
        <v>45782</v>
      </c>
      <c r="Q86" s="175">
        <v>903.85</v>
      </c>
      <c r="R86" s="102">
        <f t="shared" si="7"/>
        <v>6.7947646895014646E-3</v>
      </c>
      <c r="T86" s="97">
        <v>45782</v>
      </c>
      <c r="U86" s="175">
        <v>35.24</v>
      </c>
      <c r="V86" s="102">
        <f t="shared" si="9"/>
        <v>8.5203067310435365E-4</v>
      </c>
      <c r="X86" s="97">
        <v>45782</v>
      </c>
      <c r="Y86" s="175">
        <v>955.5</v>
      </c>
      <c r="Z86" s="102">
        <f>Y86/Y85-1</f>
        <v>-1.8187422934648589E-2</v>
      </c>
      <c r="AA86" s="178"/>
      <c r="AB86" s="97">
        <v>45782</v>
      </c>
      <c r="AC86" s="175">
        <v>142.08000000000001</v>
      </c>
      <c r="AD86" s="102">
        <f t="shared" si="8"/>
        <v>6.3748406289843018E-3</v>
      </c>
    </row>
    <row r="87" spans="2:30" x14ac:dyDescent="0.3">
      <c r="B87" s="52" t="s">
        <v>893</v>
      </c>
      <c r="C87" s="52" t="s">
        <v>894</v>
      </c>
      <c r="D87" s="97">
        <v>45783</v>
      </c>
      <c r="E87" s="175">
        <v>111.57</v>
      </c>
      <c r="F87" s="102">
        <f t="shared" si="5"/>
        <v>-2.805122397421389E-2</v>
      </c>
      <c r="H87" s="97">
        <v>45783</v>
      </c>
      <c r="I87" s="175">
        <v>24379.599999999999</v>
      </c>
      <c r="J87" s="102">
        <f t="shared" si="6"/>
        <v>-3.3338579747886898E-3</v>
      </c>
      <c r="P87" s="97">
        <v>45783</v>
      </c>
      <c r="Q87" s="175">
        <v>873.5</v>
      </c>
      <c r="R87" s="102">
        <f t="shared" si="7"/>
        <v>-3.3578580516678724E-2</v>
      </c>
      <c r="T87" s="97">
        <v>45783</v>
      </c>
      <c r="U87" s="175">
        <v>34.130000000000003</v>
      </c>
      <c r="V87" s="102">
        <f t="shared" si="9"/>
        <v>-3.1498297389330299E-2</v>
      </c>
      <c r="X87" s="97">
        <v>45783</v>
      </c>
      <c r="Y87" s="175">
        <v>967.5</v>
      </c>
      <c r="Z87" s="102">
        <f>Y87/Y86-1</f>
        <v>1.2558869701726927E-2</v>
      </c>
      <c r="AA87" s="178"/>
      <c r="AB87" s="97">
        <v>45783</v>
      </c>
      <c r="AC87" s="175">
        <v>144.44</v>
      </c>
      <c r="AD87" s="102">
        <f t="shared" si="8"/>
        <v>1.6610360360360232E-2</v>
      </c>
    </row>
    <row r="88" spans="2:30" x14ac:dyDescent="0.3">
      <c r="B88" s="52" t="s">
        <v>893</v>
      </c>
      <c r="C88" s="52" t="s">
        <v>894</v>
      </c>
      <c r="D88" s="97">
        <v>45784</v>
      </c>
      <c r="E88" s="175">
        <v>113.68</v>
      </c>
      <c r="F88" s="102">
        <f t="shared" si="5"/>
        <v>1.8911893878282848E-2</v>
      </c>
      <c r="H88" s="97">
        <v>45784</v>
      </c>
      <c r="I88" s="175">
        <v>24414.400000000001</v>
      </c>
      <c r="J88" s="102">
        <f t="shared" si="6"/>
        <v>1.4274229273656402E-3</v>
      </c>
      <c r="P88" s="97">
        <v>45784</v>
      </c>
      <c r="Q88" s="175">
        <v>878.6</v>
      </c>
      <c r="R88" s="102">
        <f t="shared" si="7"/>
        <v>5.8385804235832062E-3</v>
      </c>
      <c r="T88" s="97">
        <v>45784</v>
      </c>
      <c r="U88" s="175">
        <v>34.729999999999997</v>
      </c>
      <c r="V88" s="102">
        <f t="shared" si="9"/>
        <v>1.7579841781423688E-2</v>
      </c>
      <c r="X88" s="97">
        <v>45784</v>
      </c>
      <c r="Y88" s="175">
        <v>966.1</v>
      </c>
      <c r="Z88" s="102">
        <f>Y88/Y87-1</f>
        <v>-1.4470284237725339E-3</v>
      </c>
      <c r="AA88" s="178"/>
      <c r="AB88" s="97">
        <v>45784</v>
      </c>
      <c r="AC88" s="175">
        <v>146</v>
      </c>
      <c r="AD88" s="102">
        <f t="shared" si="8"/>
        <v>1.0800332317917549E-2</v>
      </c>
    </row>
    <row r="89" spans="2:30" x14ac:dyDescent="0.3">
      <c r="B89" s="52" t="s">
        <v>893</v>
      </c>
      <c r="C89" s="52" t="s">
        <v>894</v>
      </c>
      <c r="D89" s="97">
        <v>45785</v>
      </c>
      <c r="E89" s="175">
        <v>109.24</v>
      </c>
      <c r="F89" s="102">
        <f t="shared" si="5"/>
        <v>-3.9057002111189454E-2</v>
      </c>
      <c r="H89" s="97">
        <v>45785</v>
      </c>
      <c r="I89" s="175">
        <v>24273.8</v>
      </c>
      <c r="J89" s="102">
        <f t="shared" si="6"/>
        <v>-5.758896389016388E-3</v>
      </c>
      <c r="P89" s="97">
        <v>45785</v>
      </c>
      <c r="Q89" s="175">
        <v>851.15</v>
      </c>
      <c r="R89" s="102">
        <f t="shared" si="7"/>
        <v>-3.1242886410198123E-2</v>
      </c>
      <c r="T89" s="97">
        <v>45785</v>
      </c>
      <c r="U89" s="175">
        <v>34.1</v>
      </c>
      <c r="V89" s="102">
        <f t="shared" si="9"/>
        <v>-1.8139936654189337E-2</v>
      </c>
      <c r="X89" s="97">
        <v>45785</v>
      </c>
      <c r="Y89" s="175">
        <v>953.2</v>
      </c>
      <c r="Z89" s="102">
        <f>Y89/Y88-1</f>
        <v>-1.3352655004657876E-2</v>
      </c>
      <c r="AA89" s="178"/>
      <c r="AB89" s="97">
        <v>45785</v>
      </c>
      <c r="AC89" s="175">
        <v>143.66999999999999</v>
      </c>
      <c r="AD89" s="102">
        <f t="shared" si="8"/>
        <v>-1.5958904109589112E-2</v>
      </c>
    </row>
    <row r="90" spans="2:30" x14ac:dyDescent="0.3">
      <c r="B90" s="52" t="s">
        <v>893</v>
      </c>
      <c r="C90" s="52" t="s">
        <v>894</v>
      </c>
      <c r="D90" s="97">
        <v>45786</v>
      </c>
      <c r="E90" s="175">
        <v>109.01</v>
      </c>
      <c r="F90" s="102">
        <f t="shared" si="5"/>
        <v>-2.1054558769680876E-3</v>
      </c>
      <c r="H90" s="97">
        <v>45786</v>
      </c>
      <c r="I90" s="175">
        <v>24008</v>
      </c>
      <c r="J90" s="102">
        <f t="shared" si="6"/>
        <v>-1.0950077861727414E-2</v>
      </c>
      <c r="P90" s="97">
        <v>45786</v>
      </c>
      <c r="Q90" s="175">
        <v>855.35</v>
      </c>
      <c r="R90" s="102">
        <f t="shared" si="7"/>
        <v>4.9345003818364042E-3</v>
      </c>
      <c r="T90" s="97">
        <v>45786</v>
      </c>
      <c r="U90" s="175">
        <v>33.950000000000003</v>
      </c>
      <c r="V90" s="102">
        <f t="shared" si="9"/>
        <v>-4.3988269794721369E-3</v>
      </c>
      <c r="X90" s="97">
        <v>45786</v>
      </c>
      <c r="Y90" s="175">
        <v>957</v>
      </c>
      <c r="Z90" s="102">
        <f>Y90/Y89-1</f>
        <v>3.9865715484683761E-3</v>
      </c>
      <c r="AA90" s="178"/>
      <c r="AB90" s="97">
        <v>45786</v>
      </c>
      <c r="AC90" s="175">
        <v>142.78</v>
      </c>
      <c r="AD90" s="102">
        <f t="shared" si="8"/>
        <v>-6.1947518619056563E-3</v>
      </c>
    </row>
    <row r="91" spans="2:30" x14ac:dyDescent="0.3">
      <c r="B91" s="52" t="s">
        <v>893</v>
      </c>
      <c r="C91" s="52" t="s">
        <v>894</v>
      </c>
      <c r="D91" s="97">
        <v>45789</v>
      </c>
      <c r="E91" s="175">
        <v>118.24</v>
      </c>
      <c r="F91" s="102">
        <f t="shared" si="5"/>
        <v>8.4671131088890794E-2</v>
      </c>
      <c r="H91" s="97">
        <v>45789</v>
      </c>
      <c r="I91" s="175">
        <v>24924.7</v>
      </c>
      <c r="J91" s="102">
        <f t="shared" si="6"/>
        <v>3.8183105631456105E-2</v>
      </c>
      <c r="P91" s="97">
        <v>45789</v>
      </c>
      <c r="Q91" s="175">
        <v>904.75</v>
      </c>
      <c r="R91" s="102">
        <f t="shared" si="7"/>
        <v>5.7754135733909973E-2</v>
      </c>
      <c r="T91" s="97">
        <v>45789</v>
      </c>
      <c r="U91" s="175">
        <v>36.119999999999997</v>
      </c>
      <c r="V91" s="102">
        <f t="shared" si="9"/>
        <v>6.3917525773195649E-2</v>
      </c>
      <c r="X91" s="97">
        <v>45789</v>
      </c>
      <c r="Y91" s="175">
        <v>1005.2</v>
      </c>
      <c r="Z91" s="102">
        <f>Y91/Y90-1</f>
        <v>5.0365726227795227E-2</v>
      </c>
      <c r="AA91" s="178"/>
      <c r="AB91" s="97">
        <v>45789</v>
      </c>
      <c r="AC91" s="175">
        <v>151.63</v>
      </c>
      <c r="AD91" s="102">
        <f t="shared" si="8"/>
        <v>6.198347107438007E-2</v>
      </c>
    </row>
    <row r="92" spans="2:30" x14ac:dyDescent="0.3">
      <c r="B92" s="52" t="s">
        <v>893</v>
      </c>
      <c r="C92" s="52" t="s">
        <v>894</v>
      </c>
      <c r="D92" s="97">
        <v>45790</v>
      </c>
      <c r="E92" s="175">
        <v>116</v>
      </c>
      <c r="F92" s="102">
        <f t="shared" si="5"/>
        <v>-1.8944519621109546E-2</v>
      </c>
      <c r="H92" s="97">
        <v>45790</v>
      </c>
      <c r="I92" s="175">
        <v>24578.35</v>
      </c>
      <c r="J92" s="102">
        <f t="shared" si="6"/>
        <v>-1.3895854313191403E-2</v>
      </c>
      <c r="P92" s="97">
        <v>45790</v>
      </c>
      <c r="Q92" s="175">
        <v>909.7</v>
      </c>
      <c r="R92" s="102">
        <f t="shared" si="7"/>
        <v>5.4711246200609409E-3</v>
      </c>
      <c r="T92" s="97">
        <v>45790</v>
      </c>
      <c r="U92" s="175">
        <v>36.21</v>
      </c>
      <c r="V92" s="102">
        <f t="shared" si="9"/>
        <v>2.491694352159568E-3</v>
      </c>
      <c r="X92" s="97">
        <v>45790</v>
      </c>
      <c r="Y92" s="175">
        <v>989.9</v>
      </c>
      <c r="Z92" s="102">
        <f>Y92/Y91-1</f>
        <v>-1.5220851571826621E-2</v>
      </c>
      <c r="AA92" s="178"/>
      <c r="AB92" s="97">
        <v>45790</v>
      </c>
      <c r="AC92" s="175">
        <v>149.43</v>
      </c>
      <c r="AD92" s="102">
        <f t="shared" si="8"/>
        <v>-1.4509002176350205E-2</v>
      </c>
    </row>
    <row r="93" spans="2:30" x14ac:dyDescent="0.3">
      <c r="B93" s="52" t="s">
        <v>893</v>
      </c>
      <c r="C93" s="52" t="s">
        <v>894</v>
      </c>
      <c r="D93" s="97">
        <v>45791</v>
      </c>
      <c r="E93" s="175">
        <v>122.68</v>
      </c>
      <c r="F93" s="102">
        <f t="shared" si="5"/>
        <v>5.7586206896551806E-2</v>
      </c>
      <c r="H93" s="97">
        <v>45791</v>
      </c>
      <c r="I93" s="175">
        <v>24666.9</v>
      </c>
      <c r="J93" s="102">
        <f t="shared" si="6"/>
        <v>3.602764221357635E-3</v>
      </c>
      <c r="P93" s="97">
        <v>45791</v>
      </c>
      <c r="Q93" s="175">
        <v>943.2</v>
      </c>
      <c r="R93" s="102">
        <f t="shared" si="7"/>
        <v>3.6825327030889365E-2</v>
      </c>
      <c r="T93" s="97">
        <v>45791</v>
      </c>
      <c r="U93" s="175">
        <v>37.97</v>
      </c>
      <c r="V93" s="102">
        <f t="shared" si="9"/>
        <v>4.8605357636012148E-2</v>
      </c>
      <c r="X93" s="97">
        <v>45791</v>
      </c>
      <c r="Y93" s="175">
        <v>989.3</v>
      </c>
      <c r="Z93" s="102">
        <f>Y93/Y92-1</f>
        <v>-6.0612183048791568E-4</v>
      </c>
      <c r="AA93" s="178"/>
      <c r="AB93" s="97">
        <v>45791</v>
      </c>
      <c r="AC93" s="175">
        <v>155.31</v>
      </c>
      <c r="AD93" s="102">
        <f t="shared" si="8"/>
        <v>3.9349528207187179E-2</v>
      </c>
    </row>
    <row r="94" spans="2:30" x14ac:dyDescent="0.3">
      <c r="B94" s="52" t="s">
        <v>893</v>
      </c>
      <c r="C94" s="52" t="s">
        <v>894</v>
      </c>
      <c r="D94" s="97">
        <v>45792</v>
      </c>
      <c r="E94" s="175">
        <v>122.7</v>
      </c>
      <c r="F94" s="102">
        <f t="shared" si="5"/>
        <v>1.6302575806981245E-4</v>
      </c>
      <c r="H94" s="97">
        <v>45792</v>
      </c>
      <c r="I94" s="175">
        <v>25062.1</v>
      </c>
      <c r="J94" s="102">
        <f t="shared" si="6"/>
        <v>1.6021470067175025E-2</v>
      </c>
      <c r="P94" s="97">
        <v>45792</v>
      </c>
      <c r="Q94" s="175">
        <v>968.3</v>
      </c>
      <c r="R94" s="102">
        <f t="shared" si="7"/>
        <v>2.6611535199321468E-2</v>
      </c>
      <c r="T94" s="97">
        <v>45792</v>
      </c>
      <c r="U94" s="175">
        <v>37.869999999999997</v>
      </c>
      <c r="V94" s="102">
        <f t="shared" si="9"/>
        <v>-2.6336581511720025E-3</v>
      </c>
      <c r="X94" s="97">
        <v>45792</v>
      </c>
      <c r="Y94" s="175">
        <v>1038.3</v>
      </c>
      <c r="Z94" s="102">
        <f>Y94/Y93-1</f>
        <v>4.9529970686343905E-2</v>
      </c>
      <c r="AA94" s="178"/>
      <c r="AB94" s="97">
        <v>45792</v>
      </c>
      <c r="AC94" s="175">
        <v>157.35</v>
      </c>
      <c r="AD94" s="102">
        <f t="shared" si="8"/>
        <v>1.313502028201663E-2</v>
      </c>
    </row>
    <row r="95" spans="2:30" x14ac:dyDescent="0.3">
      <c r="B95" s="52" t="s">
        <v>893</v>
      </c>
      <c r="C95" s="52" t="s">
        <v>894</v>
      </c>
      <c r="D95" s="97">
        <v>45793</v>
      </c>
      <c r="E95" s="175">
        <v>122.48</v>
      </c>
      <c r="F95" s="102">
        <f t="shared" si="5"/>
        <v>-1.7929910350448219E-3</v>
      </c>
      <c r="H95" s="97">
        <v>45793</v>
      </c>
      <c r="I95" s="175">
        <v>25019.8</v>
      </c>
      <c r="J95" s="102">
        <f t="shared" si="6"/>
        <v>-1.6878074862042292E-3</v>
      </c>
      <c r="P95" s="97">
        <v>45793</v>
      </c>
      <c r="Q95" s="175">
        <v>981.6</v>
      </c>
      <c r="R95" s="102">
        <f t="shared" si="7"/>
        <v>1.3735412578746331E-2</v>
      </c>
      <c r="T95" s="97">
        <v>45793</v>
      </c>
      <c r="U95" s="175">
        <v>38.5</v>
      </c>
      <c r="V95" s="102">
        <f t="shared" si="9"/>
        <v>1.6635859519408491E-2</v>
      </c>
      <c r="X95" s="97">
        <v>45793</v>
      </c>
      <c r="Y95" s="175">
        <v>1021.8</v>
      </c>
      <c r="Z95" s="102">
        <f>Y95/Y94-1</f>
        <v>-1.5891360878358851E-2</v>
      </c>
      <c r="AA95" s="178"/>
      <c r="AB95" s="97">
        <v>45793</v>
      </c>
      <c r="AC95" s="175">
        <v>157.55000000000001</v>
      </c>
      <c r="AD95" s="102">
        <f t="shared" si="8"/>
        <v>1.2710517953606892E-3</v>
      </c>
    </row>
    <row r="96" spans="2:30" x14ac:dyDescent="0.3">
      <c r="B96" s="52" t="s">
        <v>893</v>
      </c>
      <c r="C96" s="52" t="s">
        <v>894</v>
      </c>
      <c r="D96" s="97">
        <v>45796</v>
      </c>
      <c r="E96" s="175">
        <v>122.11</v>
      </c>
      <c r="F96" s="102">
        <f t="shared" si="5"/>
        <v>-3.0209013716525623E-3</v>
      </c>
      <c r="H96" s="97">
        <v>45796</v>
      </c>
      <c r="I96" s="175">
        <v>24945.45</v>
      </c>
      <c r="J96" s="102">
        <f t="shared" si="6"/>
        <v>-2.9716464560067823E-3</v>
      </c>
      <c r="P96" s="97">
        <v>45796</v>
      </c>
      <c r="Q96" s="175">
        <v>973.05</v>
      </c>
      <c r="R96" s="102">
        <f t="shared" si="7"/>
        <v>-8.710268948655342E-3</v>
      </c>
      <c r="T96" s="97">
        <v>45796</v>
      </c>
      <c r="U96" s="175">
        <v>39.01</v>
      </c>
      <c r="V96" s="102">
        <f t="shared" si="9"/>
        <v>1.3246753246753284E-2</v>
      </c>
      <c r="X96" s="97">
        <v>45796</v>
      </c>
      <c r="Y96" s="175">
        <v>1019.6</v>
      </c>
      <c r="Z96" s="102">
        <f>Y96/Y95-1</f>
        <v>-2.15306322176545E-3</v>
      </c>
      <c r="AA96" s="178"/>
      <c r="AB96" s="97">
        <v>45796</v>
      </c>
      <c r="AC96" s="175">
        <v>157.57</v>
      </c>
      <c r="AD96" s="102">
        <f t="shared" si="8"/>
        <v>1.2694382735634058E-4</v>
      </c>
    </row>
    <row r="97" spans="2:30" x14ac:dyDescent="0.3">
      <c r="B97" s="52" t="s">
        <v>893</v>
      </c>
      <c r="C97" s="52" t="s">
        <v>894</v>
      </c>
      <c r="D97" s="97">
        <v>45797</v>
      </c>
      <c r="E97" s="175">
        <v>122.52</v>
      </c>
      <c r="F97" s="102">
        <f t="shared" si="5"/>
        <v>3.3576283678649066E-3</v>
      </c>
      <c r="H97" s="97">
        <v>45797</v>
      </c>
      <c r="I97" s="175">
        <v>24683.9</v>
      </c>
      <c r="J97" s="102">
        <f t="shared" si="6"/>
        <v>-1.0484878003804265E-2</v>
      </c>
      <c r="P97" s="97">
        <v>45797</v>
      </c>
      <c r="Q97" s="175">
        <v>957.6</v>
      </c>
      <c r="R97" s="102">
        <f t="shared" si="7"/>
        <v>-1.5877909665484746E-2</v>
      </c>
      <c r="T97" s="97">
        <v>45797</v>
      </c>
      <c r="U97" s="175">
        <v>38.94</v>
      </c>
      <c r="V97" s="102">
        <f t="shared" si="9"/>
        <v>-1.7944116893104933E-3</v>
      </c>
      <c r="X97" s="97">
        <v>45797</v>
      </c>
      <c r="Y97" s="175">
        <v>1012.7</v>
      </c>
      <c r="Z97" s="102">
        <f>Y97/Y96-1</f>
        <v>-6.7673597489211756E-3</v>
      </c>
      <c r="AA97" s="178"/>
      <c r="AB97" s="97">
        <v>45797</v>
      </c>
      <c r="AC97" s="175">
        <v>158.69</v>
      </c>
      <c r="AD97" s="102">
        <f t="shared" si="8"/>
        <v>7.1079520213239711E-3</v>
      </c>
    </row>
    <row r="98" spans="2:30" x14ac:dyDescent="0.3">
      <c r="B98" s="52" t="s">
        <v>893</v>
      </c>
      <c r="C98" s="52" t="s">
        <v>894</v>
      </c>
      <c r="D98" s="97">
        <v>45798</v>
      </c>
      <c r="E98" s="175">
        <v>124.88</v>
      </c>
      <c r="F98" s="102">
        <f t="shared" si="5"/>
        <v>1.9262161279790968E-2</v>
      </c>
      <c r="H98" s="97">
        <v>45798</v>
      </c>
      <c r="I98" s="175">
        <v>24813.45</v>
      </c>
      <c r="J98" s="102">
        <f t="shared" si="6"/>
        <v>5.2483602672186436E-3</v>
      </c>
      <c r="P98" s="97">
        <v>45798</v>
      </c>
      <c r="Q98" s="175">
        <v>968.5</v>
      </c>
      <c r="R98" s="102">
        <f t="shared" si="7"/>
        <v>1.1382623224728494E-2</v>
      </c>
      <c r="T98" s="97">
        <v>45798</v>
      </c>
      <c r="U98" s="175">
        <v>38.99</v>
      </c>
      <c r="V98" s="102">
        <f t="shared" si="9"/>
        <v>1.2840267077556256E-3</v>
      </c>
      <c r="X98" s="97">
        <v>45798</v>
      </c>
      <c r="Y98" s="175">
        <v>1000.9</v>
      </c>
      <c r="Z98" s="102">
        <f>Y98/Y97-1</f>
        <v>-1.1652019354201681E-2</v>
      </c>
      <c r="AA98" s="178"/>
      <c r="AB98" s="97">
        <v>45798</v>
      </c>
      <c r="AC98" s="175">
        <v>161.63999999999999</v>
      </c>
      <c r="AD98" s="102">
        <f t="shared" si="8"/>
        <v>1.8589703194908269E-2</v>
      </c>
    </row>
    <row r="99" spans="2:30" x14ac:dyDescent="0.3">
      <c r="B99" s="52" t="s">
        <v>893</v>
      </c>
      <c r="C99" s="52" t="s">
        <v>894</v>
      </c>
      <c r="D99" s="97">
        <v>45799</v>
      </c>
      <c r="E99" s="175">
        <v>125.74</v>
      </c>
      <c r="F99" s="102">
        <f t="shared" si="5"/>
        <v>6.8866111467007496E-3</v>
      </c>
      <c r="H99" s="97">
        <v>45799</v>
      </c>
      <c r="I99" s="175">
        <v>24609.7</v>
      </c>
      <c r="J99" s="102">
        <f t="shared" si="6"/>
        <v>-8.2112725155107924E-3</v>
      </c>
      <c r="P99" s="97">
        <v>45799</v>
      </c>
      <c r="Q99" s="175">
        <v>959.95</v>
      </c>
      <c r="R99" s="102">
        <f t="shared" si="7"/>
        <v>-8.8280846670107938E-3</v>
      </c>
      <c r="T99" s="97">
        <v>45799</v>
      </c>
      <c r="U99" s="175">
        <v>38.9</v>
      </c>
      <c r="V99" s="102">
        <f t="shared" si="9"/>
        <v>-2.3082841754297201E-3</v>
      </c>
      <c r="X99" s="97">
        <v>45799</v>
      </c>
      <c r="Y99" s="175">
        <v>1005.6</v>
      </c>
      <c r="Z99" s="102">
        <f>Y99/Y98-1</f>
        <v>4.6957738035768859E-3</v>
      </c>
      <c r="AA99" s="178"/>
      <c r="AB99" s="97">
        <v>45799</v>
      </c>
      <c r="AC99" s="175">
        <v>161.29</v>
      </c>
      <c r="AD99" s="102">
        <f t="shared" si="8"/>
        <v>-2.1653056174213425E-3</v>
      </c>
    </row>
    <row r="100" spans="2:30" x14ac:dyDescent="0.3">
      <c r="B100" s="52" t="s">
        <v>893</v>
      </c>
      <c r="C100" s="52" t="s">
        <v>894</v>
      </c>
      <c r="D100" s="97">
        <v>45800</v>
      </c>
      <c r="E100" s="175">
        <v>125.92</v>
      </c>
      <c r="F100" s="102">
        <f t="shared" si="5"/>
        <v>1.4315253698107266E-3</v>
      </c>
      <c r="H100" s="97">
        <v>45800</v>
      </c>
      <c r="I100" s="175">
        <v>24853.15</v>
      </c>
      <c r="J100" s="102">
        <f t="shared" si="6"/>
        <v>9.8924407855438545E-3</v>
      </c>
      <c r="P100" s="97">
        <v>45800</v>
      </c>
      <c r="Q100" s="175">
        <v>953.4</v>
      </c>
      <c r="R100" s="102">
        <f t="shared" si="7"/>
        <v>-6.8232720454191043E-3</v>
      </c>
      <c r="T100" s="97">
        <v>45800</v>
      </c>
      <c r="U100" s="175">
        <v>39.74</v>
      </c>
      <c r="V100" s="102">
        <f t="shared" si="9"/>
        <v>2.1593830334190267E-2</v>
      </c>
      <c r="X100" s="97">
        <v>45800</v>
      </c>
      <c r="Y100" s="175">
        <v>1008.5</v>
      </c>
      <c r="Z100" s="102">
        <f>Y100/Y99-1</f>
        <v>2.8838504375496843E-3</v>
      </c>
      <c r="AA100" s="178"/>
      <c r="AB100" s="97">
        <v>45800</v>
      </c>
      <c r="AC100" s="175">
        <v>162.97</v>
      </c>
      <c r="AD100" s="102">
        <f t="shared" si="8"/>
        <v>1.0416020832041628E-2</v>
      </c>
    </row>
    <row r="101" spans="2:30" x14ac:dyDescent="0.3">
      <c r="B101" s="52" t="s">
        <v>893</v>
      </c>
      <c r="C101" s="52" t="s">
        <v>894</v>
      </c>
      <c r="D101" s="97">
        <v>45803</v>
      </c>
      <c r="E101" s="175">
        <v>127.79</v>
      </c>
      <c r="F101" s="102">
        <f t="shared" si="5"/>
        <v>1.4850698856416766E-2</v>
      </c>
      <c r="H101" s="97">
        <v>45803</v>
      </c>
      <c r="I101" s="175">
        <v>25001.15</v>
      </c>
      <c r="J101" s="102">
        <f t="shared" si="6"/>
        <v>5.954979549875894E-3</v>
      </c>
      <c r="P101" s="97">
        <v>45803</v>
      </c>
      <c r="Q101" s="175">
        <v>954.8</v>
      </c>
      <c r="R101" s="102">
        <f t="shared" si="7"/>
        <v>1.468428781204123E-3</v>
      </c>
      <c r="T101" s="97">
        <v>45803</v>
      </c>
      <c r="U101" s="175">
        <v>39.51</v>
      </c>
      <c r="V101" s="102">
        <f t="shared" si="9"/>
        <v>-5.7876195269250807E-3</v>
      </c>
      <c r="X101" s="97">
        <v>45803</v>
      </c>
      <c r="Y101" s="175">
        <v>1032.3</v>
      </c>
      <c r="Z101" s="102">
        <f>Y101/Y100-1</f>
        <v>2.359940505701541E-2</v>
      </c>
      <c r="AA101" s="178"/>
      <c r="AB101" s="97">
        <v>45803</v>
      </c>
      <c r="AC101" s="175">
        <v>162.51</v>
      </c>
      <c r="AD101" s="102">
        <f t="shared" si="8"/>
        <v>-2.822605387494681E-3</v>
      </c>
    </row>
    <row r="102" spans="2:30" x14ac:dyDescent="0.3">
      <c r="B102" s="52" t="s">
        <v>893</v>
      </c>
      <c r="C102" s="52" t="s">
        <v>894</v>
      </c>
      <c r="D102" s="97">
        <v>45804</v>
      </c>
      <c r="E102" s="175">
        <v>128.58000000000001</v>
      </c>
      <c r="F102" s="102">
        <f t="shared" si="5"/>
        <v>6.182017372251325E-3</v>
      </c>
      <c r="H102" s="97">
        <v>45804</v>
      </c>
      <c r="I102" s="175">
        <v>24826.2</v>
      </c>
      <c r="J102" s="102">
        <f t="shared" si="6"/>
        <v>-6.9976781068070704E-3</v>
      </c>
      <c r="P102" s="97">
        <v>45804</v>
      </c>
      <c r="Q102" s="175">
        <v>947.5</v>
      </c>
      <c r="R102" s="102">
        <f t="shared" si="7"/>
        <v>-7.6455802262253014E-3</v>
      </c>
      <c r="T102" s="97">
        <v>45804</v>
      </c>
      <c r="U102" s="175">
        <v>39.28</v>
      </c>
      <c r="V102" s="102">
        <f t="shared" si="9"/>
        <v>-5.8213110604908858E-3</v>
      </c>
      <c r="X102" s="97">
        <v>45804</v>
      </c>
      <c r="Y102" s="175">
        <v>1013.7</v>
      </c>
      <c r="Z102" s="102">
        <f>Y102/Y101-1</f>
        <v>-1.8018018018017945E-2</v>
      </c>
      <c r="AA102" s="178"/>
      <c r="AB102" s="97">
        <v>45804</v>
      </c>
      <c r="AC102" s="175">
        <v>161.66</v>
      </c>
      <c r="AD102" s="102">
        <f t="shared" si="8"/>
        <v>-5.2304473570856658E-3</v>
      </c>
    </row>
    <row r="103" spans="2:30" x14ac:dyDescent="0.3">
      <c r="B103" s="52" t="s">
        <v>893</v>
      </c>
      <c r="C103" s="52" t="s">
        <v>894</v>
      </c>
      <c r="D103" s="97">
        <v>45805</v>
      </c>
      <c r="E103" s="175">
        <v>128.96</v>
      </c>
      <c r="F103" s="102">
        <f t="shared" si="5"/>
        <v>2.955358531653518E-3</v>
      </c>
      <c r="H103" s="97">
        <v>45805</v>
      </c>
      <c r="I103" s="175">
        <v>24752.45</v>
      </c>
      <c r="J103" s="102">
        <f t="shared" si="6"/>
        <v>-2.9706519725128944E-3</v>
      </c>
      <c r="P103" s="97">
        <v>45805</v>
      </c>
      <c r="Q103" s="175">
        <v>945.15</v>
      </c>
      <c r="R103" s="102">
        <f t="shared" si="7"/>
        <v>-2.4802110817941925E-3</v>
      </c>
      <c r="T103" s="97">
        <v>45805</v>
      </c>
      <c r="U103" s="175">
        <v>39.79</v>
      </c>
      <c r="V103" s="102">
        <f t="shared" si="9"/>
        <v>1.2983706720977484E-2</v>
      </c>
      <c r="X103" s="97">
        <v>45805</v>
      </c>
      <c r="Y103" s="175">
        <v>1001</v>
      </c>
      <c r="Z103" s="102">
        <f>Y103/Y102-1</f>
        <v>-1.2528361448160275E-2</v>
      </c>
      <c r="AA103" s="178"/>
      <c r="AB103" s="97">
        <v>45805</v>
      </c>
      <c r="AC103" s="175">
        <v>161.24</v>
      </c>
      <c r="AD103" s="102">
        <f t="shared" si="8"/>
        <v>-2.5980452802176757E-3</v>
      </c>
    </row>
    <row r="104" spans="2:30" x14ac:dyDescent="0.3">
      <c r="B104" s="52" t="s">
        <v>893</v>
      </c>
      <c r="C104" s="52" t="s">
        <v>894</v>
      </c>
      <c r="D104" s="97">
        <v>45806</v>
      </c>
      <c r="E104" s="175">
        <v>129.96</v>
      </c>
      <c r="F104" s="102">
        <f t="shared" si="5"/>
        <v>7.7543424317618737E-3</v>
      </c>
      <c r="H104" s="97">
        <v>45806</v>
      </c>
      <c r="I104" s="175">
        <v>24833.599999999999</v>
      </c>
      <c r="J104" s="102">
        <f t="shared" si="6"/>
        <v>3.2784633440325894E-3</v>
      </c>
      <c r="P104" s="97">
        <v>45806</v>
      </c>
      <c r="Q104" s="175">
        <v>971.35</v>
      </c>
      <c r="R104" s="102">
        <f t="shared" si="7"/>
        <v>2.7720467650637515E-2</v>
      </c>
      <c r="T104" s="97">
        <v>45806</v>
      </c>
      <c r="U104" s="175">
        <v>39.92</v>
      </c>
      <c r="V104" s="102">
        <f t="shared" si="9"/>
        <v>3.2671525508922716E-3</v>
      </c>
      <c r="X104" s="97">
        <v>45806</v>
      </c>
      <c r="Y104" s="175">
        <v>1006.2</v>
      </c>
      <c r="Z104" s="102">
        <f>Y104/Y103-1</f>
        <v>5.1948051948051965E-3</v>
      </c>
      <c r="AA104" s="178"/>
      <c r="AB104" s="97">
        <v>45806</v>
      </c>
      <c r="AC104" s="175">
        <v>163.12</v>
      </c>
      <c r="AD104" s="102">
        <f t="shared" si="8"/>
        <v>1.1659637806995748E-2</v>
      </c>
    </row>
    <row r="105" spans="2:30" x14ac:dyDescent="0.3">
      <c r="B105" s="52" t="s">
        <v>893</v>
      </c>
      <c r="C105" s="52" t="s">
        <v>894</v>
      </c>
      <c r="D105" s="97">
        <v>45807</v>
      </c>
      <c r="E105" s="175">
        <v>129.18</v>
      </c>
      <c r="F105" s="102">
        <f t="shared" si="5"/>
        <v>-6.0018467220683824E-3</v>
      </c>
      <c r="H105" s="97">
        <v>45807</v>
      </c>
      <c r="I105" s="175">
        <v>24750.7</v>
      </c>
      <c r="J105" s="102">
        <f t="shared" si="6"/>
        <v>-3.3382191869080202E-3</v>
      </c>
      <c r="P105" s="97">
        <v>45807</v>
      </c>
      <c r="Q105" s="175">
        <v>948.9</v>
      </c>
      <c r="R105" s="102">
        <f t="shared" si="7"/>
        <v>-2.3112163483811288E-2</v>
      </c>
      <c r="T105" s="97">
        <v>45807</v>
      </c>
      <c r="U105" s="175">
        <v>38.090000000000003</v>
      </c>
      <c r="V105" s="102">
        <f t="shared" si="9"/>
        <v>-4.5841683366733443E-2</v>
      </c>
      <c r="X105" s="97">
        <v>45807</v>
      </c>
      <c r="Y105" s="175">
        <v>993.5</v>
      </c>
      <c r="Z105" s="102">
        <f>Y105/Y104-1</f>
        <v>-1.2621745179884791E-2</v>
      </c>
      <c r="AA105" s="178"/>
      <c r="AB105" s="97">
        <v>45807</v>
      </c>
      <c r="AC105" s="175">
        <v>161.02000000000001</v>
      </c>
      <c r="AD105" s="102">
        <f t="shared" si="8"/>
        <v>-1.2873957822461923E-2</v>
      </c>
    </row>
    <row r="106" spans="2:30" x14ac:dyDescent="0.3">
      <c r="B106" s="52" t="s">
        <v>893</v>
      </c>
      <c r="C106" s="52" t="s">
        <v>894</v>
      </c>
      <c r="D106" s="97">
        <v>45810</v>
      </c>
      <c r="E106" s="175">
        <v>130.69</v>
      </c>
      <c r="F106" s="102">
        <f t="shared" si="5"/>
        <v>1.1689115962223218E-2</v>
      </c>
      <c r="H106" s="97">
        <v>45810</v>
      </c>
      <c r="I106" s="175">
        <v>24716.6</v>
      </c>
      <c r="J106" s="102">
        <f t="shared" si="6"/>
        <v>-1.3777388114276645E-3</v>
      </c>
      <c r="P106" s="97">
        <v>45810</v>
      </c>
      <c r="Q106" s="175">
        <v>943.65</v>
      </c>
      <c r="R106" s="102">
        <f t="shared" si="7"/>
        <v>-5.5327220992728021E-3</v>
      </c>
      <c r="T106" s="97">
        <v>45810</v>
      </c>
      <c r="U106" s="175">
        <v>38.56</v>
      </c>
      <c r="V106" s="102">
        <f t="shared" si="9"/>
        <v>1.2339196639537864E-2</v>
      </c>
      <c r="X106" s="97">
        <v>45810</v>
      </c>
      <c r="Y106" s="175">
        <v>978.8</v>
      </c>
      <c r="Z106" s="102">
        <f>Y106/Y105-1</f>
        <v>-1.4796175138399592E-2</v>
      </c>
      <c r="AA106" s="178"/>
      <c r="AB106" s="97">
        <v>45810</v>
      </c>
      <c r="AC106" s="175">
        <v>159.04</v>
      </c>
      <c r="AD106" s="102">
        <f t="shared" si="8"/>
        <v>-1.229660911688002E-2</v>
      </c>
    </row>
    <row r="107" spans="2:30" x14ac:dyDescent="0.3">
      <c r="B107" s="52" t="s">
        <v>893</v>
      </c>
      <c r="C107" s="52" t="s">
        <v>894</v>
      </c>
      <c r="D107" s="97">
        <v>45811</v>
      </c>
      <c r="E107" s="175">
        <v>130.21</v>
      </c>
      <c r="F107" s="102">
        <f t="shared" si="5"/>
        <v>-3.6728135281963725E-3</v>
      </c>
      <c r="H107" s="97">
        <v>45811</v>
      </c>
      <c r="I107" s="175">
        <v>24542.5</v>
      </c>
      <c r="J107" s="102">
        <f t="shared" si="6"/>
        <v>-7.0438490730925229E-3</v>
      </c>
      <c r="P107" s="97">
        <v>45811</v>
      </c>
      <c r="Q107" s="175">
        <v>946.4</v>
      </c>
      <c r="R107" s="102">
        <f t="shared" si="7"/>
        <v>2.9142160758754976E-3</v>
      </c>
      <c r="T107" s="97">
        <v>45811</v>
      </c>
      <c r="U107" s="175">
        <v>38.35</v>
      </c>
      <c r="V107" s="102">
        <f t="shared" si="9"/>
        <v>-5.4460580912862877E-3</v>
      </c>
      <c r="X107" s="97">
        <v>45811</v>
      </c>
      <c r="Y107" s="175">
        <v>973.8</v>
      </c>
      <c r="Z107" s="102">
        <f>Y107/Y106-1</f>
        <v>-5.1082958724969485E-3</v>
      </c>
      <c r="AA107" s="178"/>
      <c r="AB107" s="97">
        <v>45811</v>
      </c>
      <c r="AC107" s="175">
        <v>157.35</v>
      </c>
      <c r="AD107" s="102">
        <f t="shared" si="8"/>
        <v>-1.0626257545271578E-2</v>
      </c>
    </row>
    <row r="108" spans="2:30" x14ac:dyDescent="0.3">
      <c r="B108" s="52" t="s">
        <v>893</v>
      </c>
      <c r="C108" s="52" t="s">
        <v>894</v>
      </c>
      <c r="D108" s="97">
        <v>45812</v>
      </c>
      <c r="E108" s="175">
        <v>131.83000000000001</v>
      </c>
      <c r="F108" s="102">
        <f t="shared" si="5"/>
        <v>1.244144074955833E-2</v>
      </c>
      <c r="H108" s="97">
        <v>45812</v>
      </c>
      <c r="I108" s="175">
        <v>24620.2</v>
      </c>
      <c r="J108" s="102">
        <f t="shared" si="6"/>
        <v>3.1659366405216716E-3</v>
      </c>
      <c r="P108" s="97">
        <v>45812</v>
      </c>
      <c r="Q108" s="175">
        <v>951.7</v>
      </c>
      <c r="R108" s="102">
        <f t="shared" si="7"/>
        <v>5.6001690617075717E-3</v>
      </c>
      <c r="T108" s="97">
        <v>45812</v>
      </c>
      <c r="U108" s="175">
        <v>38.92</v>
      </c>
      <c r="V108" s="102">
        <f t="shared" si="9"/>
        <v>1.4863102998696309E-2</v>
      </c>
      <c r="X108" s="97">
        <v>45812</v>
      </c>
      <c r="Y108" s="175">
        <v>968.55</v>
      </c>
      <c r="Z108" s="102">
        <f>Y108/Y107-1</f>
        <v>-5.3912507701786572E-3</v>
      </c>
      <c r="AA108" s="178"/>
      <c r="AB108" s="97">
        <v>45812</v>
      </c>
      <c r="AC108" s="175">
        <v>158.18</v>
      </c>
      <c r="AD108" s="102">
        <f t="shared" si="8"/>
        <v>5.2748649507468048E-3</v>
      </c>
    </row>
    <row r="109" spans="2:30" x14ac:dyDescent="0.3">
      <c r="B109" s="52" t="s">
        <v>893</v>
      </c>
      <c r="C109" s="52" t="s">
        <v>894</v>
      </c>
      <c r="D109" s="97">
        <v>45813</v>
      </c>
      <c r="E109" s="175">
        <v>133.11000000000001</v>
      </c>
      <c r="F109" s="102">
        <f t="shared" si="5"/>
        <v>9.7094743229917402E-3</v>
      </c>
      <c r="H109" s="97">
        <v>45813</v>
      </c>
      <c r="I109" s="175">
        <v>24750.9</v>
      </c>
      <c r="J109" s="102">
        <f t="shared" si="6"/>
        <v>5.3086489955402882E-3</v>
      </c>
      <c r="P109" s="97">
        <v>45813</v>
      </c>
      <c r="Q109" s="175">
        <v>949.85</v>
      </c>
      <c r="R109" s="102">
        <f t="shared" si="7"/>
        <v>-1.9438898812651484E-3</v>
      </c>
      <c r="T109" s="97">
        <v>45813</v>
      </c>
      <c r="U109" s="175">
        <v>38.619999999999997</v>
      </c>
      <c r="V109" s="102">
        <f t="shared" si="9"/>
        <v>-7.7081192189106806E-3</v>
      </c>
      <c r="X109" s="97">
        <v>45813</v>
      </c>
      <c r="Y109" s="175">
        <v>968.75</v>
      </c>
      <c r="Z109" s="102">
        <f>Y109/Y108-1</f>
        <v>2.0649424397300997E-4</v>
      </c>
      <c r="AA109" s="178"/>
      <c r="AB109" s="97">
        <v>45813</v>
      </c>
      <c r="AC109" s="175">
        <v>157.97</v>
      </c>
      <c r="AD109" s="102">
        <f t="shared" si="8"/>
        <v>-1.3276014666835367E-3</v>
      </c>
    </row>
    <row r="110" spans="2:30" x14ac:dyDescent="0.3">
      <c r="B110" s="52" t="s">
        <v>893</v>
      </c>
      <c r="C110" s="52" t="s">
        <v>894</v>
      </c>
      <c r="D110" s="97">
        <v>45814</v>
      </c>
      <c r="E110" s="175">
        <v>135.04</v>
      </c>
      <c r="F110" s="102">
        <f t="shared" si="5"/>
        <v>1.4499286304559877E-2</v>
      </c>
      <c r="H110" s="97">
        <v>45814</v>
      </c>
      <c r="I110" s="175">
        <v>25003.05</v>
      </c>
      <c r="J110" s="102">
        <f t="shared" si="6"/>
        <v>1.0187508333030282E-2</v>
      </c>
      <c r="P110" s="97">
        <v>45814</v>
      </c>
      <c r="Q110" s="175">
        <v>962.75</v>
      </c>
      <c r="R110" s="102">
        <f t="shared" si="7"/>
        <v>1.3581091751329044E-2</v>
      </c>
      <c r="T110" s="97">
        <v>45814</v>
      </c>
      <c r="U110" s="175">
        <v>39.43</v>
      </c>
      <c r="V110" s="102">
        <f t="shared" si="9"/>
        <v>2.0973588814086064E-2</v>
      </c>
      <c r="X110" s="97">
        <v>45814</v>
      </c>
      <c r="Y110" s="175">
        <v>1004.9</v>
      </c>
      <c r="Z110" s="102">
        <f>Y110/Y109-1</f>
        <v>3.7316129032258116E-2</v>
      </c>
      <c r="AA110" s="178"/>
      <c r="AB110" s="97">
        <v>45814</v>
      </c>
      <c r="AC110" s="175">
        <v>157.49</v>
      </c>
      <c r="AD110" s="102">
        <f t="shared" si="8"/>
        <v>-3.0385516237259047E-3</v>
      </c>
    </row>
    <row r="111" spans="2:30" x14ac:dyDescent="0.3">
      <c r="B111" s="52" t="s">
        <v>893</v>
      </c>
      <c r="C111" s="52" t="s">
        <v>894</v>
      </c>
      <c r="D111" s="97">
        <v>45817</v>
      </c>
      <c r="E111" s="175">
        <v>133.83000000000001</v>
      </c>
      <c r="F111" s="102">
        <f t="shared" si="5"/>
        <v>-8.9603080568718685E-3</v>
      </c>
      <c r="H111" s="97">
        <v>45817</v>
      </c>
      <c r="I111" s="175">
        <v>25103.200000000001</v>
      </c>
      <c r="J111" s="102">
        <f t="shared" si="6"/>
        <v>4.0055113276180609E-3</v>
      </c>
      <c r="P111" s="97">
        <v>45817</v>
      </c>
      <c r="Q111" s="175">
        <v>974.55</v>
      </c>
      <c r="R111" s="102">
        <f t="shared" si="7"/>
        <v>1.2256556738509339E-2</v>
      </c>
      <c r="T111" s="97">
        <v>45817</v>
      </c>
      <c r="U111" s="175">
        <v>39.81</v>
      </c>
      <c r="V111" s="102">
        <f t="shared" si="9"/>
        <v>9.637331980725472E-3</v>
      </c>
      <c r="X111" s="97">
        <v>45817</v>
      </c>
      <c r="Y111" s="175">
        <v>1008</v>
      </c>
      <c r="Z111" s="102">
        <f>Y111/Y110-1</f>
        <v>3.0848840680663958E-3</v>
      </c>
      <c r="AA111" s="178"/>
      <c r="AB111" s="97">
        <v>45817</v>
      </c>
      <c r="AC111" s="175">
        <v>157.32</v>
      </c>
      <c r="AD111" s="102">
        <f t="shared" si="8"/>
        <v>-1.0794336148327588E-3</v>
      </c>
    </row>
    <row r="112" spans="2:30" x14ac:dyDescent="0.3">
      <c r="B112" s="52" t="s">
        <v>893</v>
      </c>
      <c r="C112" s="52" t="s">
        <v>894</v>
      </c>
      <c r="D112" s="97">
        <v>45818</v>
      </c>
      <c r="E112" s="175">
        <v>132.93</v>
      </c>
      <c r="F112" s="102">
        <f t="shared" si="5"/>
        <v>-6.7249495628782796E-3</v>
      </c>
      <c r="H112" s="97">
        <v>45818</v>
      </c>
      <c r="I112" s="175">
        <v>25104.25</v>
      </c>
      <c r="J112" s="102">
        <f t="shared" si="6"/>
        <v>4.1827336753952338E-5</v>
      </c>
      <c r="P112" s="97">
        <v>45818</v>
      </c>
      <c r="Q112" s="175">
        <v>973.7</v>
      </c>
      <c r="R112" s="102">
        <f t="shared" si="7"/>
        <v>-8.721974244522146E-4</v>
      </c>
      <c r="T112" s="97">
        <v>45818</v>
      </c>
      <c r="U112" s="175">
        <v>39.9</v>
      </c>
      <c r="V112" s="102">
        <f t="shared" si="9"/>
        <v>2.2607385079125297E-3</v>
      </c>
      <c r="X112" s="97">
        <v>45818</v>
      </c>
      <c r="Y112" s="175">
        <v>1003.1</v>
      </c>
      <c r="Z112" s="102">
        <f>Y112/Y111-1</f>
        <v>-4.8611111111110938E-3</v>
      </c>
      <c r="AA112" s="178"/>
      <c r="AB112" s="97">
        <v>45818</v>
      </c>
      <c r="AC112" s="175">
        <v>155.68</v>
      </c>
      <c r="AD112" s="102">
        <f t="shared" si="8"/>
        <v>-1.04246122552758E-2</v>
      </c>
    </row>
    <row r="113" spans="2:30" x14ac:dyDescent="0.3">
      <c r="B113" s="52" t="s">
        <v>893</v>
      </c>
      <c r="C113" s="52" t="s">
        <v>894</v>
      </c>
      <c r="D113" s="97">
        <v>45819</v>
      </c>
      <c r="E113" s="175">
        <v>133.15</v>
      </c>
      <c r="F113" s="102">
        <f t="shared" si="5"/>
        <v>1.6550063943427951E-3</v>
      </c>
      <c r="H113" s="97">
        <v>45819</v>
      </c>
      <c r="I113" s="175">
        <v>25141.4</v>
      </c>
      <c r="J113" s="102">
        <f t="shared" si="6"/>
        <v>1.4798291126005836E-3</v>
      </c>
      <c r="P113" s="97">
        <v>45819</v>
      </c>
      <c r="Q113" s="175">
        <v>955.05</v>
      </c>
      <c r="R113" s="102">
        <f t="shared" si="7"/>
        <v>-1.9153743452808958E-2</v>
      </c>
      <c r="T113" s="97">
        <v>45819</v>
      </c>
      <c r="U113" s="175">
        <v>40.92</v>
      </c>
      <c r="V113" s="102">
        <f t="shared" si="9"/>
        <v>2.5563909774436233E-2</v>
      </c>
      <c r="X113" s="97">
        <v>45819</v>
      </c>
      <c r="Y113" s="175">
        <v>1007.1</v>
      </c>
      <c r="Z113" s="102">
        <f>Y113/Y112-1</f>
        <v>3.987638321204301E-3</v>
      </c>
      <c r="AA113" s="178"/>
      <c r="AB113" s="97">
        <v>45819</v>
      </c>
      <c r="AC113" s="175">
        <v>156.41</v>
      </c>
      <c r="AD113" s="102">
        <f t="shared" si="8"/>
        <v>4.6891058581706169E-3</v>
      </c>
    </row>
    <row r="114" spans="2:30" x14ac:dyDescent="0.3">
      <c r="B114" s="52" t="s">
        <v>893</v>
      </c>
      <c r="C114" s="52" t="s">
        <v>894</v>
      </c>
      <c r="D114" s="97">
        <v>45820</v>
      </c>
      <c r="E114" s="175">
        <v>129.97</v>
      </c>
      <c r="F114" s="102">
        <f t="shared" si="5"/>
        <v>-2.3882838903492298E-2</v>
      </c>
      <c r="H114" s="97">
        <v>45820</v>
      </c>
      <c r="I114" s="175">
        <v>24888.2</v>
      </c>
      <c r="J114" s="102">
        <f t="shared" si="6"/>
        <v>-1.0071038207896121E-2</v>
      </c>
      <c r="P114" s="97">
        <v>45820</v>
      </c>
      <c r="Q114" s="175">
        <v>939.1</v>
      </c>
      <c r="R114" s="102">
        <f t="shared" si="7"/>
        <v>-1.670069629862303E-2</v>
      </c>
      <c r="T114" s="97">
        <v>45820</v>
      </c>
      <c r="U114" s="175">
        <v>39.869999999999997</v>
      </c>
      <c r="V114" s="102">
        <f t="shared" si="9"/>
        <v>-2.5659824046920909E-2</v>
      </c>
      <c r="X114" s="97">
        <v>45820</v>
      </c>
      <c r="Y114" s="175">
        <v>995.65</v>
      </c>
      <c r="Z114" s="102">
        <f>Y114/Y113-1</f>
        <v>-1.13692781253103E-2</v>
      </c>
      <c r="AA114" s="178"/>
      <c r="AB114" s="97">
        <v>45820</v>
      </c>
      <c r="AC114" s="175">
        <v>152.88999999999999</v>
      </c>
      <c r="AD114" s="102">
        <f t="shared" si="8"/>
        <v>-2.2504954926155674E-2</v>
      </c>
    </row>
    <row r="115" spans="2:30" x14ac:dyDescent="0.3">
      <c r="B115" s="52" t="s">
        <v>893</v>
      </c>
      <c r="C115" s="52" t="s">
        <v>894</v>
      </c>
      <c r="D115" s="97">
        <v>45821</v>
      </c>
      <c r="E115" s="175">
        <v>129.35</v>
      </c>
      <c r="F115" s="102">
        <f t="shared" si="5"/>
        <v>-4.770331614988077E-3</v>
      </c>
      <c r="H115" s="97">
        <v>45821</v>
      </c>
      <c r="I115" s="175">
        <v>24718.6</v>
      </c>
      <c r="J115" s="102">
        <f t="shared" si="6"/>
        <v>-6.8144743292002374E-3</v>
      </c>
      <c r="P115" s="97">
        <v>45821</v>
      </c>
      <c r="Q115" s="175">
        <v>920.75</v>
      </c>
      <c r="R115" s="102">
        <f t="shared" si="7"/>
        <v>-1.9539985092109524E-2</v>
      </c>
      <c r="T115" s="97">
        <v>45821</v>
      </c>
      <c r="U115" s="175">
        <v>39.049999999999997</v>
      </c>
      <c r="V115" s="102">
        <f t="shared" si="9"/>
        <v>-2.0566842237271121E-2</v>
      </c>
      <c r="X115" s="97">
        <v>45821</v>
      </c>
      <c r="Y115" s="175">
        <v>987.25</v>
      </c>
      <c r="Z115" s="102">
        <f>Y115/Y114-1</f>
        <v>-8.4366996434489527E-3</v>
      </c>
      <c r="AA115" s="178"/>
      <c r="AB115" s="97">
        <v>45821</v>
      </c>
      <c r="AC115" s="175">
        <v>152.13</v>
      </c>
      <c r="AD115" s="102">
        <f t="shared" si="8"/>
        <v>-4.9708941068741241E-3</v>
      </c>
    </row>
    <row r="116" spans="2:30" x14ac:dyDescent="0.3">
      <c r="B116" s="52" t="s">
        <v>893</v>
      </c>
      <c r="C116" s="52" t="s">
        <v>894</v>
      </c>
      <c r="D116" s="97">
        <v>45824</v>
      </c>
      <c r="E116" s="175">
        <v>128.91999999999999</v>
      </c>
      <c r="F116" s="102">
        <f t="shared" si="5"/>
        <v>-3.3243138770777669E-3</v>
      </c>
      <c r="H116" s="97">
        <v>45824</v>
      </c>
      <c r="I116" s="175">
        <v>24946.5</v>
      </c>
      <c r="J116" s="102">
        <f t="shared" si="6"/>
        <v>9.2197778191323021E-3</v>
      </c>
      <c r="P116" s="97">
        <v>45824</v>
      </c>
      <c r="Q116" s="175">
        <v>922.6</v>
      </c>
      <c r="R116" s="102">
        <f t="shared" si="7"/>
        <v>2.0092316046700365E-3</v>
      </c>
      <c r="T116" s="97">
        <v>45824</v>
      </c>
      <c r="U116" s="175">
        <v>38.799999999999997</v>
      </c>
      <c r="V116" s="102">
        <f t="shared" si="9"/>
        <v>-6.4020486555698142E-3</v>
      </c>
      <c r="X116" s="97">
        <v>45824</v>
      </c>
      <c r="Y116" s="175">
        <v>1003.8</v>
      </c>
      <c r="Z116" s="102">
        <f>Y116/Y115-1</f>
        <v>1.6763737655102418E-2</v>
      </c>
      <c r="AA116" s="178"/>
      <c r="AB116" s="97">
        <v>45824</v>
      </c>
      <c r="AC116" s="175">
        <v>154.16999999999999</v>
      </c>
      <c r="AD116" s="102">
        <f t="shared" si="8"/>
        <v>1.3409583908499334E-2</v>
      </c>
    </row>
    <row r="117" spans="2:30" x14ac:dyDescent="0.3">
      <c r="B117" s="52" t="s">
        <v>893</v>
      </c>
      <c r="C117" s="52" t="s">
        <v>894</v>
      </c>
      <c r="D117" s="97">
        <v>45825</v>
      </c>
      <c r="E117" s="175">
        <v>126.91</v>
      </c>
      <c r="F117" s="102">
        <f t="shared" si="5"/>
        <v>-1.5591064225876416E-2</v>
      </c>
      <c r="H117" s="97">
        <v>45825</v>
      </c>
      <c r="I117" s="175">
        <v>24853.4</v>
      </c>
      <c r="J117" s="102">
        <f t="shared" si="6"/>
        <v>-3.7319864510051426E-3</v>
      </c>
      <c r="P117" s="97">
        <v>45825</v>
      </c>
      <c r="Q117" s="175">
        <v>891</v>
      </c>
      <c r="R117" s="102">
        <f t="shared" si="7"/>
        <v>-3.425102969867766E-2</v>
      </c>
      <c r="T117" s="97">
        <v>45825</v>
      </c>
      <c r="U117" s="175">
        <v>38.17</v>
      </c>
      <c r="V117" s="102">
        <f t="shared" si="9"/>
        <v>-1.6237113402061687E-2</v>
      </c>
      <c r="X117" s="97">
        <v>45825</v>
      </c>
      <c r="Y117" s="175">
        <v>999.65</v>
      </c>
      <c r="Z117" s="102">
        <f>Y117/Y116-1</f>
        <v>-4.134289699143201E-3</v>
      </c>
      <c r="AA117" s="178"/>
      <c r="AB117" s="97">
        <v>45825</v>
      </c>
      <c r="AC117" s="175">
        <v>152.6</v>
      </c>
      <c r="AD117" s="102">
        <f t="shared" si="8"/>
        <v>-1.0183563598624823E-2</v>
      </c>
    </row>
    <row r="118" spans="2:30" x14ac:dyDescent="0.3">
      <c r="B118" s="52" t="s">
        <v>893</v>
      </c>
      <c r="C118" s="52" t="s">
        <v>894</v>
      </c>
      <c r="D118" s="97">
        <v>45826</v>
      </c>
      <c r="E118" s="175">
        <v>127.03</v>
      </c>
      <c r="F118" s="102">
        <f t="shared" si="5"/>
        <v>9.4555196596024516E-4</v>
      </c>
      <c r="H118" s="97">
        <v>45826</v>
      </c>
      <c r="I118" s="175">
        <v>24812.05</v>
      </c>
      <c r="J118" s="102">
        <f t="shared" si="6"/>
        <v>-1.6637562667483063E-3</v>
      </c>
      <c r="P118" s="97">
        <v>45826</v>
      </c>
      <c r="Q118" s="175">
        <v>893.9</v>
      </c>
      <c r="R118" s="102">
        <f t="shared" si="7"/>
        <v>3.2547699214364734E-3</v>
      </c>
      <c r="T118" s="97">
        <v>45826</v>
      </c>
      <c r="U118" s="175">
        <v>37.89</v>
      </c>
      <c r="V118" s="102">
        <f t="shared" si="9"/>
        <v>-7.3356038773906285E-3</v>
      </c>
      <c r="X118" s="97">
        <v>45826</v>
      </c>
      <c r="Y118" s="175">
        <v>986.35</v>
      </c>
      <c r="Z118" s="102">
        <f>Y118/Y117-1</f>
        <v>-1.3304656629820388E-2</v>
      </c>
      <c r="AA118" s="178"/>
      <c r="AB118" s="97">
        <v>45826</v>
      </c>
      <c r="AC118" s="175">
        <v>152.11000000000001</v>
      </c>
      <c r="AD118" s="102">
        <f t="shared" si="8"/>
        <v>-3.2110091743118296E-3</v>
      </c>
    </row>
    <row r="119" spans="2:30" x14ac:dyDescent="0.3">
      <c r="B119" s="52" t="s">
        <v>893</v>
      </c>
      <c r="C119" s="52" t="s">
        <v>894</v>
      </c>
      <c r="D119" s="97">
        <v>45827</v>
      </c>
      <c r="E119" s="175">
        <v>125.15</v>
      </c>
      <c r="F119" s="102">
        <f t="shared" si="5"/>
        <v>-1.4799653625127918E-2</v>
      </c>
      <c r="H119" s="97">
        <v>45827</v>
      </c>
      <c r="I119" s="175">
        <v>24793.25</v>
      </c>
      <c r="J119" s="102">
        <f t="shared" si="6"/>
        <v>-7.5769636124378703E-4</v>
      </c>
      <c r="P119" s="97">
        <v>45827</v>
      </c>
      <c r="Q119" s="175">
        <v>887.45</v>
      </c>
      <c r="R119" s="102">
        <f t="shared" si="7"/>
        <v>-7.2155722116566956E-3</v>
      </c>
      <c r="T119" s="97">
        <v>45827</v>
      </c>
      <c r="U119" s="175">
        <v>37.08</v>
      </c>
      <c r="V119" s="102">
        <f t="shared" si="9"/>
        <v>-2.1377672209026199E-2</v>
      </c>
      <c r="X119" s="97">
        <v>45827</v>
      </c>
      <c r="Y119" s="175">
        <v>996.05</v>
      </c>
      <c r="Z119" s="102">
        <f>Y119/Y118-1</f>
        <v>9.8342373396866911E-3</v>
      </c>
      <c r="AA119" s="178"/>
      <c r="AB119" s="97">
        <v>45827</v>
      </c>
      <c r="AC119" s="175">
        <v>151</v>
      </c>
      <c r="AD119" s="102">
        <f t="shared" si="8"/>
        <v>-7.2973506015384659E-3</v>
      </c>
    </row>
    <row r="120" spans="2:30" x14ac:dyDescent="0.3">
      <c r="B120" s="52" t="s">
        <v>893</v>
      </c>
      <c r="C120" s="52" t="s">
        <v>894</v>
      </c>
      <c r="D120" s="97">
        <v>45828</v>
      </c>
      <c r="E120" s="175">
        <v>127.48</v>
      </c>
      <c r="F120" s="102">
        <f t="shared" si="5"/>
        <v>1.8617658809428672E-2</v>
      </c>
      <c r="H120" s="97">
        <v>45828</v>
      </c>
      <c r="I120" s="175">
        <v>25112.400000000001</v>
      </c>
      <c r="J120" s="102">
        <f t="shared" si="6"/>
        <v>1.2872455204541611E-2</v>
      </c>
      <c r="P120" s="97">
        <v>45828</v>
      </c>
      <c r="Q120" s="175">
        <v>899.05</v>
      </c>
      <c r="R120" s="102">
        <f t="shared" si="7"/>
        <v>1.3071158938531724E-2</v>
      </c>
      <c r="T120" s="97">
        <v>45828</v>
      </c>
      <c r="U120" s="175">
        <v>37.46</v>
      </c>
      <c r="V120" s="102">
        <f t="shared" si="9"/>
        <v>1.0248112189859881E-2</v>
      </c>
      <c r="X120" s="97">
        <v>45828</v>
      </c>
      <c r="Y120" s="175">
        <v>1005.55</v>
      </c>
      <c r="Z120" s="102">
        <f>Y120/Y119-1</f>
        <v>9.5376738115555693E-3</v>
      </c>
      <c r="AA120" s="178"/>
      <c r="AB120" s="97">
        <v>45828</v>
      </c>
      <c r="AC120" s="175">
        <v>151.97</v>
      </c>
      <c r="AD120" s="102">
        <f t="shared" si="8"/>
        <v>6.4238410596026974E-3</v>
      </c>
    </row>
    <row r="121" spans="2:30" x14ac:dyDescent="0.3">
      <c r="B121" s="52" t="s">
        <v>893</v>
      </c>
      <c r="C121" s="52" t="s">
        <v>894</v>
      </c>
      <c r="D121" s="97">
        <v>45831</v>
      </c>
      <c r="E121" s="175">
        <v>126.6</v>
      </c>
      <c r="F121" s="102">
        <f t="shared" si="5"/>
        <v>-6.9030436146847451E-3</v>
      </c>
      <c r="H121" s="97">
        <v>45831</v>
      </c>
      <c r="I121" s="175">
        <v>24971.9</v>
      </c>
      <c r="J121" s="102">
        <f t="shared" si="6"/>
        <v>-5.594845574297902E-3</v>
      </c>
      <c r="P121" s="97">
        <v>45831</v>
      </c>
      <c r="Q121" s="175">
        <v>910.7</v>
      </c>
      <c r="R121" s="102">
        <f t="shared" si="7"/>
        <v>1.295812246259942E-2</v>
      </c>
      <c r="T121" s="97">
        <v>45831</v>
      </c>
      <c r="U121" s="175">
        <v>37.82</v>
      </c>
      <c r="V121" s="102">
        <f t="shared" si="9"/>
        <v>9.6102509343298781E-3</v>
      </c>
      <c r="X121" s="97">
        <v>45831</v>
      </c>
      <c r="Y121" s="175">
        <v>997</v>
      </c>
      <c r="Z121" s="102">
        <f>Y121/Y120-1</f>
        <v>-8.5028094077866934E-3</v>
      </c>
      <c r="AA121" s="178"/>
      <c r="AB121" s="97">
        <v>45831</v>
      </c>
      <c r="AC121" s="175">
        <v>152.43</v>
      </c>
      <c r="AD121" s="102">
        <f t="shared" si="8"/>
        <v>3.0269132065539051E-3</v>
      </c>
    </row>
    <row r="122" spans="2:30" x14ac:dyDescent="0.3">
      <c r="B122" s="52" t="s">
        <v>893</v>
      </c>
      <c r="C122" s="52" t="s">
        <v>894</v>
      </c>
      <c r="D122" s="97">
        <v>45832</v>
      </c>
      <c r="E122" s="175">
        <v>130.74</v>
      </c>
      <c r="F122" s="102">
        <f t="shared" si="5"/>
        <v>3.2701421800948038E-2</v>
      </c>
      <c r="H122" s="97">
        <v>45832</v>
      </c>
      <c r="I122" s="175">
        <v>25044.35</v>
      </c>
      <c r="J122" s="102">
        <f t="shared" si="6"/>
        <v>2.9012610173835274E-3</v>
      </c>
      <c r="P122" s="97">
        <v>45832</v>
      </c>
      <c r="Q122" s="175">
        <v>924.2</v>
      </c>
      <c r="R122" s="102">
        <f t="shared" si="7"/>
        <v>1.4823761941363811E-2</v>
      </c>
      <c r="T122" s="97">
        <v>45832</v>
      </c>
      <c r="U122" s="175">
        <v>38.5</v>
      </c>
      <c r="V122" s="102">
        <f t="shared" si="9"/>
        <v>1.7979904812268632E-2</v>
      </c>
      <c r="X122" s="97">
        <v>45832</v>
      </c>
      <c r="Y122" s="175">
        <v>1007</v>
      </c>
      <c r="Z122" s="102">
        <f>Y122/Y121-1</f>
        <v>1.0030090270812364E-2</v>
      </c>
      <c r="AA122" s="178"/>
      <c r="AB122" s="97">
        <v>45832</v>
      </c>
      <c r="AC122" s="175">
        <v>154.79</v>
      </c>
      <c r="AD122" s="102">
        <f t="shared" si="8"/>
        <v>1.5482516564980564E-2</v>
      </c>
    </row>
    <row r="123" spans="2:30" x14ac:dyDescent="0.3">
      <c r="B123" s="52" t="s">
        <v>893</v>
      </c>
      <c r="C123" s="52" t="s">
        <v>894</v>
      </c>
      <c r="D123" s="97">
        <v>45833</v>
      </c>
      <c r="E123" s="175">
        <v>128.26</v>
      </c>
      <c r="F123" s="102">
        <f t="shared" si="5"/>
        <v>-1.8968945999694231E-2</v>
      </c>
      <c r="H123" s="97">
        <v>45833</v>
      </c>
      <c r="I123" s="175">
        <v>25244.75</v>
      </c>
      <c r="J123" s="102">
        <f t="shared" si="6"/>
        <v>8.001804798287937E-3</v>
      </c>
      <c r="P123" s="97">
        <v>45833</v>
      </c>
      <c r="Q123" s="175">
        <v>919.9</v>
      </c>
      <c r="R123" s="102">
        <f t="shared" si="7"/>
        <v>-4.6526725816923298E-3</v>
      </c>
      <c r="T123" s="97">
        <v>45833</v>
      </c>
      <c r="U123" s="175">
        <v>39.47</v>
      </c>
      <c r="V123" s="102">
        <f t="shared" si="9"/>
        <v>2.5194805194805214E-2</v>
      </c>
      <c r="X123" s="97">
        <v>45833</v>
      </c>
      <c r="Y123" s="175">
        <v>1024.45</v>
      </c>
      <c r="Z123" s="102">
        <f>Y123/Y122-1</f>
        <v>1.7328699106256229E-2</v>
      </c>
      <c r="AA123" s="178"/>
      <c r="AB123" s="97">
        <v>45833</v>
      </c>
      <c r="AC123" s="175">
        <v>156.38999999999999</v>
      </c>
      <c r="AD123" s="102">
        <f t="shared" si="8"/>
        <v>1.0336585050713776E-2</v>
      </c>
    </row>
    <row r="124" spans="2:30" x14ac:dyDescent="0.3">
      <c r="B124" s="52" t="s">
        <v>893</v>
      </c>
      <c r="C124" s="52" t="s">
        <v>894</v>
      </c>
      <c r="D124" s="97">
        <v>45834</v>
      </c>
      <c r="E124" s="175">
        <v>133.62</v>
      </c>
      <c r="F124" s="102">
        <f t="shared" si="5"/>
        <v>4.1790113831280395E-2</v>
      </c>
      <c r="H124" s="97">
        <v>45834</v>
      </c>
      <c r="I124" s="175">
        <v>25549</v>
      </c>
      <c r="J124" s="102">
        <f t="shared" si="6"/>
        <v>1.2052010814129765E-2</v>
      </c>
      <c r="P124" s="97">
        <v>45834</v>
      </c>
      <c r="Q124" s="175">
        <v>954.9</v>
      </c>
      <c r="R124" s="102">
        <f t="shared" si="7"/>
        <v>3.8047613871073027E-2</v>
      </c>
      <c r="T124" s="97">
        <v>45834</v>
      </c>
      <c r="U124" s="175">
        <v>41</v>
      </c>
      <c r="V124" s="102">
        <f t="shared" si="9"/>
        <v>3.8763617937674244E-2</v>
      </c>
      <c r="X124" s="97">
        <v>45834</v>
      </c>
      <c r="Y124" s="175">
        <v>1032.55</v>
      </c>
      <c r="Z124" s="102">
        <f>Y124/Y123-1</f>
        <v>7.9066816340473967E-3</v>
      </c>
      <c r="AA124" s="178"/>
      <c r="AB124" s="97">
        <v>45834</v>
      </c>
      <c r="AC124" s="175">
        <v>160.54</v>
      </c>
      <c r="AD124" s="102">
        <f t="shared" si="8"/>
        <v>2.6536223543704773E-2</v>
      </c>
    </row>
    <row r="125" spans="2:30" x14ac:dyDescent="0.3">
      <c r="B125" s="52" t="s">
        <v>893</v>
      </c>
      <c r="C125" s="52" t="s">
        <v>894</v>
      </c>
      <c r="D125" s="97">
        <v>45835</v>
      </c>
      <c r="E125" s="175">
        <v>131.69999999999999</v>
      </c>
      <c r="F125" s="102">
        <f t="shared" si="5"/>
        <v>-1.43691064211946E-2</v>
      </c>
      <c r="H125" s="97">
        <v>45835</v>
      </c>
      <c r="I125" s="175">
        <v>25637.8</v>
      </c>
      <c r="J125" s="102">
        <f t="shared" si="6"/>
        <v>3.4756741946846414E-3</v>
      </c>
      <c r="P125" s="97">
        <v>45835</v>
      </c>
      <c r="Q125" s="175">
        <v>939.35</v>
      </c>
      <c r="R125" s="102">
        <f t="shared" si="7"/>
        <v>-1.6284427688763148E-2</v>
      </c>
      <c r="T125" s="97">
        <v>45835</v>
      </c>
      <c r="U125" s="175">
        <v>41.23</v>
      </c>
      <c r="V125" s="102">
        <f t="shared" si="9"/>
        <v>5.6097560975609806E-3</v>
      </c>
      <c r="X125" s="97">
        <v>45835</v>
      </c>
      <c r="Y125" s="175">
        <v>1028.9000000000001</v>
      </c>
      <c r="Z125" s="102">
        <f>Y125/Y124-1</f>
        <v>-3.5349377754102518E-3</v>
      </c>
      <c r="AA125" s="178"/>
      <c r="AB125" s="97">
        <v>45835</v>
      </c>
      <c r="AC125" s="175">
        <v>161.44999999999999</v>
      </c>
      <c r="AD125" s="102">
        <f t="shared" si="8"/>
        <v>5.6683692537684571E-3</v>
      </c>
    </row>
    <row r="126" spans="2:30" x14ac:dyDescent="0.3">
      <c r="B126" s="52" t="s">
        <v>893</v>
      </c>
      <c r="C126" s="52" t="s">
        <v>894</v>
      </c>
      <c r="D126" s="97">
        <v>45838</v>
      </c>
      <c r="E126" s="175">
        <v>131.99</v>
      </c>
      <c r="F126" s="102">
        <f t="shared" si="5"/>
        <v>2.2019741837511209E-3</v>
      </c>
      <c r="H126" s="97">
        <v>45838</v>
      </c>
      <c r="I126" s="175">
        <v>25517.05</v>
      </c>
      <c r="J126" s="102">
        <f t="shared" si="6"/>
        <v>-4.7098424981862896E-3</v>
      </c>
      <c r="P126" s="97">
        <v>45838</v>
      </c>
      <c r="Q126" s="175">
        <v>941.7</v>
      </c>
      <c r="R126" s="102">
        <f t="shared" si="7"/>
        <v>2.5017299196252729E-3</v>
      </c>
      <c r="T126" s="97">
        <v>45838</v>
      </c>
      <c r="U126" s="175">
        <v>40.99</v>
      </c>
      <c r="V126" s="102">
        <f t="shared" si="9"/>
        <v>-5.821004123211182E-3</v>
      </c>
      <c r="X126" s="97">
        <v>45838</v>
      </c>
      <c r="Y126" s="175">
        <v>1020.5</v>
      </c>
      <c r="Z126" s="102">
        <f>Y126/Y125-1</f>
        <v>-8.164058703469812E-3</v>
      </c>
      <c r="AA126" s="178"/>
      <c r="AB126" s="97">
        <v>45838</v>
      </c>
      <c r="AC126" s="175">
        <v>159.76</v>
      </c>
      <c r="AD126" s="102">
        <f t="shared" si="8"/>
        <v>-1.0467637039331068E-2</v>
      </c>
    </row>
    <row r="127" spans="2:30" x14ac:dyDescent="0.3">
      <c r="B127" s="52" t="s">
        <v>893</v>
      </c>
      <c r="C127" s="52" t="s">
        <v>894</v>
      </c>
      <c r="D127" s="97">
        <v>45839</v>
      </c>
      <c r="E127" s="175">
        <v>133.34</v>
      </c>
      <c r="F127" s="102">
        <f t="shared" si="5"/>
        <v>1.0228047579362132E-2</v>
      </c>
      <c r="H127" s="97">
        <v>45839</v>
      </c>
      <c r="I127" s="175">
        <v>25541.8</v>
      </c>
      <c r="J127" s="102">
        <f t="shared" si="6"/>
        <v>9.6993970698022736E-4</v>
      </c>
      <c r="P127" s="97">
        <v>45839</v>
      </c>
      <c r="Q127" s="175">
        <v>951.25</v>
      </c>
      <c r="R127" s="102">
        <f t="shared" si="7"/>
        <v>1.0141233938621541E-2</v>
      </c>
      <c r="T127" s="97">
        <v>45839</v>
      </c>
      <c r="U127" s="175">
        <v>40.6</v>
      </c>
      <c r="V127" s="102">
        <f t="shared" si="9"/>
        <v>-9.5145157355452925E-3</v>
      </c>
      <c r="X127" s="97">
        <v>45839</v>
      </c>
      <c r="Y127" s="175">
        <v>1029.5999999999999</v>
      </c>
      <c r="Z127" s="102">
        <f>Y127/Y126-1</f>
        <v>8.9171974522292974E-3</v>
      </c>
      <c r="AA127" s="178"/>
      <c r="AB127" s="97">
        <v>45839</v>
      </c>
      <c r="AC127" s="175">
        <v>160.06</v>
      </c>
      <c r="AD127" s="102">
        <f t="shared" si="8"/>
        <v>1.8778167250876887E-3</v>
      </c>
    </row>
    <row r="128" spans="2:30" x14ac:dyDescent="0.3">
      <c r="B128" s="52" t="s">
        <v>893</v>
      </c>
      <c r="C128" s="52" t="s">
        <v>894</v>
      </c>
      <c r="D128" s="97">
        <v>45840</v>
      </c>
      <c r="E128" s="175">
        <v>137.47999999999999</v>
      </c>
      <c r="F128" s="102">
        <f t="shared" si="5"/>
        <v>3.104844757762093E-2</v>
      </c>
      <c r="H128" s="97">
        <v>45840</v>
      </c>
      <c r="I128" s="175">
        <v>25453.4</v>
      </c>
      <c r="J128" s="102">
        <f t="shared" si="6"/>
        <v>-3.4609933520737268E-3</v>
      </c>
      <c r="P128" s="97">
        <v>45840</v>
      </c>
      <c r="Q128" s="175">
        <v>968.7</v>
      </c>
      <c r="R128" s="102">
        <f t="shared" si="7"/>
        <v>1.8344283837056663E-2</v>
      </c>
      <c r="T128" s="97">
        <v>45840</v>
      </c>
      <c r="U128" s="175">
        <v>40.43</v>
      </c>
      <c r="V128" s="102">
        <f t="shared" si="9"/>
        <v>-4.1871921182266014E-3</v>
      </c>
      <c r="X128" s="97">
        <v>45840</v>
      </c>
      <c r="Y128" s="175">
        <v>1059.9000000000001</v>
      </c>
      <c r="Z128" s="102">
        <f>Y128/Y127-1</f>
        <v>2.9428904428904668E-2</v>
      </c>
      <c r="AA128" s="178"/>
      <c r="AB128" s="97">
        <v>45840</v>
      </c>
      <c r="AC128" s="175">
        <v>165.88</v>
      </c>
      <c r="AD128" s="102">
        <f t="shared" si="8"/>
        <v>3.6361364488316728E-2</v>
      </c>
    </row>
    <row r="129" spans="2:30" x14ac:dyDescent="0.3">
      <c r="B129" s="52" t="s">
        <v>893</v>
      </c>
      <c r="C129" s="52" t="s">
        <v>894</v>
      </c>
      <c r="D129" s="97">
        <v>45841</v>
      </c>
      <c r="E129" s="175">
        <v>136.5</v>
      </c>
      <c r="F129" s="102">
        <f t="shared" si="5"/>
        <v>-7.1283095723013723E-3</v>
      </c>
      <c r="H129" s="97">
        <v>45841</v>
      </c>
      <c r="I129" s="175">
        <v>25405.3</v>
      </c>
      <c r="J129" s="102">
        <f t="shared" si="6"/>
        <v>-1.8897278948981633E-3</v>
      </c>
      <c r="P129" s="97">
        <v>45841</v>
      </c>
      <c r="Q129" s="175">
        <v>956.5</v>
      </c>
      <c r="R129" s="102">
        <f t="shared" si="7"/>
        <v>-1.2594198410240565E-2</v>
      </c>
      <c r="T129" s="97">
        <v>45841</v>
      </c>
      <c r="U129" s="175">
        <v>40.98</v>
      </c>
      <c r="V129" s="102">
        <f t="shared" si="9"/>
        <v>1.3603759584466912E-2</v>
      </c>
      <c r="X129" s="97">
        <v>45841</v>
      </c>
      <c r="Y129" s="175">
        <v>1046.0999999999999</v>
      </c>
      <c r="Z129" s="102">
        <f>Y129/Y128-1</f>
        <v>-1.302009623549405E-2</v>
      </c>
      <c r="AA129" s="178"/>
      <c r="AB129" s="97">
        <v>45841</v>
      </c>
      <c r="AC129" s="175">
        <v>165.91</v>
      </c>
      <c r="AD129" s="102">
        <f t="shared" si="8"/>
        <v>1.8085362912945158E-4</v>
      </c>
    </row>
    <row r="130" spans="2:30" x14ac:dyDescent="0.3">
      <c r="B130" s="52" t="s">
        <v>893</v>
      </c>
      <c r="C130" s="52" t="s">
        <v>894</v>
      </c>
      <c r="D130" s="97">
        <v>45842</v>
      </c>
      <c r="E130" s="175">
        <v>134.72</v>
      </c>
      <c r="F130" s="102">
        <f t="shared" si="5"/>
        <v>-1.3040293040293083E-2</v>
      </c>
      <c r="H130" s="97">
        <v>45842</v>
      </c>
      <c r="I130" s="175">
        <v>25461</v>
      </c>
      <c r="J130" s="102">
        <f t="shared" si="6"/>
        <v>2.1924559048702719E-3</v>
      </c>
      <c r="P130" s="97">
        <v>45842</v>
      </c>
      <c r="Q130" s="175">
        <v>953</v>
      </c>
      <c r="R130" s="102">
        <f t="shared" si="7"/>
        <v>-3.6591740721380051E-3</v>
      </c>
      <c r="T130" s="97">
        <v>45842</v>
      </c>
      <c r="U130" s="175">
        <v>40.49</v>
      </c>
      <c r="V130" s="102">
        <f t="shared" si="9"/>
        <v>-1.1957052220595288E-2</v>
      </c>
      <c r="X130" s="97">
        <v>45842</v>
      </c>
      <c r="Y130" s="175">
        <v>1041.4000000000001</v>
      </c>
      <c r="Z130" s="102">
        <f>Y130/Y129-1</f>
        <v>-4.4928783099128511E-3</v>
      </c>
      <c r="AA130" s="178"/>
      <c r="AB130" s="97">
        <v>45842</v>
      </c>
      <c r="AC130" s="175">
        <v>163.01</v>
      </c>
      <c r="AD130" s="102">
        <f t="shared" si="8"/>
        <v>-1.7479356277499858E-2</v>
      </c>
    </row>
    <row r="131" spans="2:30" x14ac:dyDescent="0.3">
      <c r="B131" s="52" t="s">
        <v>893</v>
      </c>
      <c r="C131" s="52" t="s">
        <v>894</v>
      </c>
      <c r="D131" s="97">
        <v>45845</v>
      </c>
      <c r="E131" s="175">
        <v>133.47</v>
      </c>
      <c r="F131" s="102">
        <f t="shared" si="5"/>
        <v>-9.2785035629453505E-3</v>
      </c>
      <c r="H131" s="97">
        <v>45845</v>
      </c>
      <c r="I131" s="175">
        <v>25461.3</v>
      </c>
      <c r="J131" s="102">
        <f t="shared" si="6"/>
        <v>1.1782726522913123E-5</v>
      </c>
      <c r="P131" s="97">
        <v>45845</v>
      </c>
      <c r="Q131" s="175">
        <v>953.5</v>
      </c>
      <c r="R131" s="102">
        <f t="shared" si="7"/>
        <v>5.2465897166831255E-4</v>
      </c>
      <c r="T131" s="97">
        <v>45845</v>
      </c>
      <c r="U131" s="175">
        <v>39.92</v>
      </c>
      <c r="V131" s="102">
        <f t="shared" si="9"/>
        <v>-1.4077550012348783E-2</v>
      </c>
      <c r="X131" s="97">
        <v>45845</v>
      </c>
      <c r="Y131" s="175">
        <v>1042.5999999999999</v>
      </c>
      <c r="Z131" s="102">
        <f>Y131/Y130-1</f>
        <v>1.1522949875166777E-3</v>
      </c>
      <c r="AA131" s="178"/>
      <c r="AB131" s="97">
        <v>45845</v>
      </c>
      <c r="AC131" s="175">
        <v>162.4</v>
      </c>
      <c r="AD131" s="102">
        <f t="shared" si="8"/>
        <v>-3.7421017115513155E-3</v>
      </c>
    </row>
    <row r="132" spans="2:30" x14ac:dyDescent="0.3">
      <c r="B132" s="52" t="s">
        <v>893</v>
      </c>
      <c r="C132" s="52" t="s">
        <v>894</v>
      </c>
      <c r="D132" s="97">
        <v>45846</v>
      </c>
      <c r="E132" s="175">
        <v>135.05000000000001</v>
      </c>
      <c r="F132" s="102">
        <f t="shared" si="5"/>
        <v>1.1837866187158319E-2</v>
      </c>
      <c r="H132" s="97">
        <v>45846</v>
      </c>
      <c r="I132" s="175">
        <v>25522.5</v>
      </c>
      <c r="J132" s="102">
        <f t="shared" si="6"/>
        <v>2.403647889149374E-3</v>
      </c>
      <c r="P132" s="97">
        <v>45846</v>
      </c>
      <c r="Q132" s="175">
        <v>951.1</v>
      </c>
      <c r="R132" s="102">
        <f t="shared" si="7"/>
        <v>-2.5170424750917686E-3</v>
      </c>
      <c r="T132" s="97">
        <v>45846</v>
      </c>
      <c r="U132" s="175">
        <v>39.9</v>
      </c>
      <c r="V132" s="102">
        <f t="shared" si="9"/>
        <v>-5.0100200400804429E-4</v>
      </c>
      <c r="X132" s="97">
        <v>45846</v>
      </c>
      <c r="Y132" s="175">
        <v>1045</v>
      </c>
      <c r="Z132" s="102">
        <f>Y132/Y131-1</f>
        <v>2.3019374640322887E-3</v>
      </c>
      <c r="AA132" s="178"/>
      <c r="AB132" s="97">
        <v>45846</v>
      </c>
      <c r="AC132" s="175">
        <v>161.97</v>
      </c>
      <c r="AD132" s="102">
        <f t="shared" si="8"/>
        <v>-2.6477832512316057E-3</v>
      </c>
    </row>
    <row r="133" spans="2:30" x14ac:dyDescent="0.3">
      <c r="B133" s="52" t="s">
        <v>893</v>
      </c>
      <c r="C133" s="52" t="s">
        <v>894</v>
      </c>
      <c r="D133" s="97">
        <v>45847</v>
      </c>
      <c r="E133" s="175">
        <v>133.88</v>
      </c>
      <c r="F133" s="102">
        <f t="shared" si="5"/>
        <v>-8.6634579785266341E-3</v>
      </c>
      <c r="H133" s="97">
        <v>45847</v>
      </c>
      <c r="I133" s="175">
        <v>25476.1</v>
      </c>
      <c r="J133" s="102">
        <f t="shared" si="6"/>
        <v>-1.8180037222059742E-3</v>
      </c>
      <c r="P133" s="97">
        <v>45847</v>
      </c>
      <c r="Q133" s="175">
        <v>944.8</v>
      </c>
      <c r="R133" s="102">
        <f t="shared" si="7"/>
        <v>-6.6239091578172982E-3</v>
      </c>
      <c r="T133" s="97">
        <v>45847</v>
      </c>
      <c r="U133" s="175">
        <v>39.57</v>
      </c>
      <c r="V133" s="102">
        <f t="shared" si="9"/>
        <v>-8.2706766917293173E-3</v>
      </c>
      <c r="X133" s="97">
        <v>45847</v>
      </c>
      <c r="Y133" s="175">
        <v>1040.4000000000001</v>
      </c>
      <c r="Z133" s="102">
        <f>Y133/Y132-1</f>
        <v>-4.4019138755979625E-3</v>
      </c>
      <c r="AA133" s="178"/>
      <c r="AB133" s="97">
        <v>45847</v>
      </c>
      <c r="AC133" s="175">
        <v>159</v>
      </c>
      <c r="AD133" s="102">
        <f t="shared" si="8"/>
        <v>-1.8336729023893272E-2</v>
      </c>
    </row>
    <row r="134" spans="2:30" x14ac:dyDescent="0.3">
      <c r="B134" s="52" t="s">
        <v>893</v>
      </c>
      <c r="C134" s="52" t="s">
        <v>894</v>
      </c>
      <c r="D134" s="97">
        <v>45848</v>
      </c>
      <c r="E134" s="175">
        <v>134.78</v>
      </c>
      <c r="F134" s="102">
        <f t="shared" ref="F134:F197" si="10">E134/E133-1</f>
        <v>6.722438004182818E-3</v>
      </c>
      <c r="H134" s="97">
        <v>45848</v>
      </c>
      <c r="I134" s="175">
        <v>25355.25</v>
      </c>
      <c r="J134" s="102">
        <f t="shared" ref="J134:J197" si="11">I134/I133-1</f>
        <v>-4.7436617064621212E-3</v>
      </c>
      <c r="P134" s="97">
        <v>45848</v>
      </c>
      <c r="Q134" s="175">
        <v>944.55</v>
      </c>
      <c r="R134" s="102">
        <f t="shared" ref="R134:R197" si="12">Q134/Q133-1</f>
        <v>-2.6460626587632152E-4</v>
      </c>
      <c r="T134" s="97">
        <v>45848</v>
      </c>
      <c r="U134" s="175">
        <v>40.049999999999997</v>
      </c>
      <c r="V134" s="102">
        <f t="shared" si="9"/>
        <v>1.2130401819560266E-2</v>
      </c>
      <c r="X134" s="97">
        <v>45848</v>
      </c>
      <c r="Y134" s="175">
        <v>1043.3</v>
      </c>
      <c r="Z134" s="102">
        <f>Y134/Y133-1</f>
        <v>2.7873894655900955E-3</v>
      </c>
      <c r="AA134" s="178"/>
      <c r="AB134" s="97">
        <v>45848</v>
      </c>
      <c r="AC134" s="175">
        <v>160.66</v>
      </c>
      <c r="AD134" s="102">
        <f t="shared" ref="AD134:AD197" si="13">AC134/AC133-1</f>
        <v>1.0440251572326975E-2</v>
      </c>
    </row>
    <row r="135" spans="2:30" x14ac:dyDescent="0.3">
      <c r="B135" s="52" t="s">
        <v>893</v>
      </c>
      <c r="C135" s="52" t="s">
        <v>894</v>
      </c>
      <c r="D135" s="97">
        <v>45849</v>
      </c>
      <c r="E135" s="175">
        <v>134.33000000000001</v>
      </c>
      <c r="F135" s="102">
        <f t="shared" si="10"/>
        <v>-3.3387742988573166E-3</v>
      </c>
      <c r="H135" s="97">
        <v>45849</v>
      </c>
      <c r="I135" s="175">
        <v>25149.85</v>
      </c>
      <c r="J135" s="102">
        <f t="shared" si="11"/>
        <v>-8.1008864041963724E-3</v>
      </c>
      <c r="P135" s="97">
        <v>45849</v>
      </c>
      <c r="Q135" s="175">
        <v>938.4</v>
      </c>
      <c r="R135" s="102">
        <f t="shared" si="12"/>
        <v>-6.5110370017468222E-3</v>
      </c>
      <c r="T135" s="97">
        <v>45849</v>
      </c>
      <c r="U135" s="175">
        <v>39.81</v>
      </c>
      <c r="V135" s="102">
        <f t="shared" ref="V135:V198" si="14">U135/U134-1</f>
        <v>-5.9925093632957616E-3</v>
      </c>
      <c r="X135" s="97">
        <v>45849</v>
      </c>
      <c r="Y135" s="175">
        <v>1037.2</v>
      </c>
      <c r="Z135" s="102">
        <f>Y135/Y134-1</f>
        <v>-5.8468321671617529E-3</v>
      </c>
      <c r="AA135" s="178"/>
      <c r="AB135" s="97">
        <v>45849</v>
      </c>
      <c r="AC135" s="175">
        <v>159.84</v>
      </c>
      <c r="AD135" s="102">
        <f t="shared" si="13"/>
        <v>-5.1039462218348541E-3</v>
      </c>
    </row>
    <row r="136" spans="2:30" x14ac:dyDescent="0.3">
      <c r="B136" s="52" t="s">
        <v>893</v>
      </c>
      <c r="C136" s="52" t="s">
        <v>894</v>
      </c>
      <c r="D136" s="97">
        <v>45852</v>
      </c>
      <c r="E136" s="175">
        <v>134.19</v>
      </c>
      <c r="F136" s="102">
        <f t="shared" si="10"/>
        <v>-1.0422094841063823E-3</v>
      </c>
      <c r="H136" s="97">
        <v>45852</v>
      </c>
      <c r="I136" s="175">
        <v>25082.3</v>
      </c>
      <c r="J136" s="102">
        <f t="shared" si="11"/>
        <v>-2.68590071113739E-3</v>
      </c>
      <c r="P136" s="97">
        <v>45852</v>
      </c>
      <c r="Q136" s="175">
        <v>933.05</v>
      </c>
      <c r="R136" s="102">
        <f t="shared" si="12"/>
        <v>-5.7011935208866049E-3</v>
      </c>
      <c r="T136" s="97">
        <v>45852</v>
      </c>
      <c r="U136" s="175">
        <v>39.159999999999997</v>
      </c>
      <c r="V136" s="102">
        <f t="shared" si="14"/>
        <v>-1.6327555890479961E-2</v>
      </c>
      <c r="X136" s="97">
        <v>45852</v>
      </c>
      <c r="Y136" s="175">
        <v>1038.9000000000001</v>
      </c>
      <c r="Z136" s="102">
        <f>Y136/Y135-1</f>
        <v>1.6390281527189909E-3</v>
      </c>
      <c r="AA136" s="178"/>
      <c r="AB136" s="97">
        <v>45852</v>
      </c>
      <c r="AC136" s="175">
        <v>160.44</v>
      </c>
      <c r="AD136" s="102">
        <f t="shared" si="13"/>
        <v>3.7537537537537524E-3</v>
      </c>
    </row>
    <row r="137" spans="2:30" x14ac:dyDescent="0.3">
      <c r="B137" s="52" t="s">
        <v>893</v>
      </c>
      <c r="C137" s="52" t="s">
        <v>894</v>
      </c>
      <c r="D137" s="97">
        <v>45853</v>
      </c>
      <c r="E137" s="175">
        <v>134.88</v>
      </c>
      <c r="F137" s="102">
        <f t="shared" si="10"/>
        <v>5.141962888441709E-3</v>
      </c>
      <c r="H137" s="97">
        <v>45853</v>
      </c>
      <c r="I137" s="175">
        <v>25195.8</v>
      </c>
      <c r="J137" s="102">
        <f t="shared" si="11"/>
        <v>4.5251033597397683E-3</v>
      </c>
      <c r="P137" s="97">
        <v>45853</v>
      </c>
      <c r="Q137" s="175">
        <v>943.85</v>
      </c>
      <c r="R137" s="102">
        <f t="shared" si="12"/>
        <v>1.1574942393226539E-2</v>
      </c>
      <c r="T137" s="97">
        <v>45853</v>
      </c>
      <c r="U137" s="175">
        <v>39.090000000000003</v>
      </c>
      <c r="V137" s="102">
        <f t="shared" si="14"/>
        <v>-1.7875383043920445E-3</v>
      </c>
      <c r="X137" s="97">
        <v>45853</v>
      </c>
      <c r="Y137" s="175">
        <v>1035</v>
      </c>
      <c r="Z137" s="102">
        <f>Y137/Y136-1</f>
        <v>-3.7539705457696471E-3</v>
      </c>
      <c r="AA137" s="178"/>
      <c r="AB137" s="97">
        <v>45853</v>
      </c>
      <c r="AC137" s="175">
        <v>159</v>
      </c>
      <c r="AD137" s="102">
        <f t="shared" si="13"/>
        <v>-8.9753178758413821E-3</v>
      </c>
    </row>
    <row r="138" spans="2:30" x14ac:dyDescent="0.3">
      <c r="B138" s="52" t="s">
        <v>893</v>
      </c>
      <c r="C138" s="52" t="s">
        <v>894</v>
      </c>
      <c r="D138" s="97">
        <v>45854</v>
      </c>
      <c r="E138" s="175">
        <v>133.58000000000001</v>
      </c>
      <c r="F138" s="102">
        <f t="shared" si="10"/>
        <v>-9.638196915776831E-3</v>
      </c>
      <c r="H138" s="97">
        <v>45854</v>
      </c>
      <c r="I138" s="175">
        <v>25212.05</v>
      </c>
      <c r="J138" s="102">
        <f t="shared" si="11"/>
        <v>6.4494876130138934E-4</v>
      </c>
      <c r="P138" s="97">
        <v>45854</v>
      </c>
      <c r="Q138" s="175">
        <v>931.45</v>
      </c>
      <c r="R138" s="102">
        <f t="shared" si="12"/>
        <v>-1.3137680775546889E-2</v>
      </c>
      <c r="T138" s="97">
        <v>45854</v>
      </c>
      <c r="U138" s="175">
        <v>39.340000000000003</v>
      </c>
      <c r="V138" s="102">
        <f t="shared" si="14"/>
        <v>6.3954975697109173E-3</v>
      </c>
      <c r="X138" s="97">
        <v>45854</v>
      </c>
      <c r="Y138" s="175">
        <v>1029.8</v>
      </c>
      <c r="Z138" s="102">
        <f>Y138/Y137-1</f>
        <v>-5.0241545893719985E-3</v>
      </c>
      <c r="AA138" s="178"/>
      <c r="AB138" s="97">
        <v>45854</v>
      </c>
      <c r="AC138" s="175">
        <v>157.33000000000001</v>
      </c>
      <c r="AD138" s="102">
        <f t="shared" si="13"/>
        <v>-1.050314465408797E-2</v>
      </c>
    </row>
    <row r="139" spans="2:30" x14ac:dyDescent="0.3">
      <c r="B139" s="52" t="s">
        <v>893</v>
      </c>
      <c r="C139" s="52" t="s">
        <v>894</v>
      </c>
      <c r="D139" s="97">
        <v>45855</v>
      </c>
      <c r="E139" s="175">
        <v>133.6</v>
      </c>
      <c r="F139" s="102">
        <f t="shared" si="10"/>
        <v>1.4972301242677233E-4</v>
      </c>
      <c r="H139" s="97">
        <v>45855</v>
      </c>
      <c r="I139" s="175">
        <v>25111.45</v>
      </c>
      <c r="J139" s="102">
        <f t="shared" si="11"/>
        <v>-3.9901555010400935E-3</v>
      </c>
      <c r="P139" s="97">
        <v>45855</v>
      </c>
      <c r="Q139" s="175">
        <v>950.45</v>
      </c>
      <c r="R139" s="102">
        <f t="shared" si="12"/>
        <v>2.0398303720006394E-2</v>
      </c>
      <c r="T139" s="97">
        <v>45855</v>
      </c>
      <c r="U139" s="175">
        <v>39.369999999999997</v>
      </c>
      <c r="V139" s="102">
        <f t="shared" si="14"/>
        <v>7.6258261311634712E-4</v>
      </c>
      <c r="X139" s="97">
        <v>45855</v>
      </c>
      <c r="Y139" s="175">
        <v>1034.2</v>
      </c>
      <c r="Z139" s="102">
        <f>Y139/Y138-1</f>
        <v>4.2726743056904493E-3</v>
      </c>
      <c r="AA139" s="178"/>
      <c r="AB139" s="97">
        <v>45855</v>
      </c>
      <c r="AC139" s="175">
        <v>159.9</v>
      </c>
      <c r="AD139" s="102">
        <f t="shared" si="13"/>
        <v>1.6335091845166128E-2</v>
      </c>
    </row>
    <row r="140" spans="2:30" x14ac:dyDescent="0.3">
      <c r="B140" s="52" t="s">
        <v>893</v>
      </c>
      <c r="C140" s="52" t="s">
        <v>894</v>
      </c>
      <c r="D140" s="97">
        <v>45856</v>
      </c>
      <c r="E140" s="175">
        <v>136.44999999999999</v>
      </c>
      <c r="F140" s="102">
        <f t="shared" si="10"/>
        <v>2.1332335329341312E-2</v>
      </c>
      <c r="H140" s="97">
        <v>45856</v>
      </c>
      <c r="I140" s="175">
        <v>24968.400000000001</v>
      </c>
      <c r="J140" s="102">
        <f t="shared" si="11"/>
        <v>-5.6966045369741813E-3</v>
      </c>
      <c r="P140" s="97">
        <v>45856</v>
      </c>
      <c r="Q140" s="175">
        <v>957.15</v>
      </c>
      <c r="R140" s="102">
        <f t="shared" si="12"/>
        <v>7.0492924404228496E-3</v>
      </c>
      <c r="T140" s="97">
        <v>45856</v>
      </c>
      <c r="U140" s="175">
        <v>39.479999999999997</v>
      </c>
      <c r="V140" s="102">
        <f t="shared" si="14"/>
        <v>2.7940055880111281E-3</v>
      </c>
      <c r="X140" s="97">
        <v>45856</v>
      </c>
      <c r="Y140" s="175">
        <v>1034.4000000000001</v>
      </c>
      <c r="Z140" s="102">
        <f>Y140/Y139-1</f>
        <v>1.9338619222586395E-4</v>
      </c>
      <c r="AA140" s="178"/>
      <c r="AB140" s="97">
        <v>45856</v>
      </c>
      <c r="AC140" s="175">
        <v>162.37</v>
      </c>
      <c r="AD140" s="102">
        <f t="shared" si="13"/>
        <v>1.5447154471544655E-2</v>
      </c>
    </row>
    <row r="141" spans="2:30" x14ac:dyDescent="0.3">
      <c r="B141" s="52" t="s">
        <v>893</v>
      </c>
      <c r="C141" s="52" t="s">
        <v>894</v>
      </c>
      <c r="D141" s="97">
        <v>45859</v>
      </c>
      <c r="E141" s="175">
        <v>136.94</v>
      </c>
      <c r="F141" s="102">
        <f t="shared" si="10"/>
        <v>3.5910589959693429E-3</v>
      </c>
      <c r="H141" s="97">
        <v>45859</v>
      </c>
      <c r="I141" s="175">
        <v>25090.7</v>
      </c>
      <c r="J141" s="102">
        <f t="shared" si="11"/>
        <v>4.8981913138206323E-3</v>
      </c>
      <c r="P141" s="97">
        <v>45859</v>
      </c>
      <c r="Q141" s="175">
        <v>960.05</v>
      </c>
      <c r="R141" s="102">
        <f t="shared" si="12"/>
        <v>3.0298281356109236E-3</v>
      </c>
      <c r="T141" s="97">
        <v>45859</v>
      </c>
      <c r="U141" s="175">
        <v>39.83</v>
      </c>
      <c r="V141" s="102">
        <f t="shared" si="14"/>
        <v>8.8652482269504507E-3</v>
      </c>
      <c r="X141" s="97">
        <v>45859</v>
      </c>
      <c r="Y141" s="175">
        <v>1034.8</v>
      </c>
      <c r="Z141" s="102">
        <f>Y141/Y140-1</f>
        <v>3.8669760247467266E-4</v>
      </c>
      <c r="AA141" s="178"/>
      <c r="AB141" s="97">
        <v>45859</v>
      </c>
      <c r="AC141" s="175">
        <v>163.02000000000001</v>
      </c>
      <c r="AD141" s="102">
        <f t="shared" si="13"/>
        <v>4.0032025620497791E-3</v>
      </c>
    </row>
    <row r="142" spans="2:30" x14ac:dyDescent="0.3">
      <c r="B142" s="52" t="s">
        <v>893</v>
      </c>
      <c r="C142" s="52" t="s">
        <v>894</v>
      </c>
      <c r="D142" s="97">
        <v>45860</v>
      </c>
      <c r="E142" s="175">
        <v>135.99</v>
      </c>
      <c r="F142" s="102">
        <f t="shared" si="10"/>
        <v>-6.937344822549929E-3</v>
      </c>
      <c r="H142" s="97">
        <v>45860</v>
      </c>
      <c r="I142" s="175">
        <v>25060.9</v>
      </c>
      <c r="J142" s="102">
        <f t="shared" si="11"/>
        <v>-1.1876910568456855E-3</v>
      </c>
      <c r="P142" s="97">
        <v>45860</v>
      </c>
      <c r="Q142" s="175">
        <v>965</v>
      </c>
      <c r="R142" s="102">
        <f t="shared" si="12"/>
        <v>5.1559814592989639E-3</v>
      </c>
      <c r="T142" s="97">
        <v>45860</v>
      </c>
      <c r="U142" s="175">
        <v>39.49</v>
      </c>
      <c r="V142" s="102">
        <f t="shared" si="14"/>
        <v>-8.5362791865427612E-3</v>
      </c>
      <c r="X142" s="97">
        <v>45860</v>
      </c>
      <c r="Y142" s="175">
        <v>1030.7</v>
      </c>
      <c r="Z142" s="102">
        <f>Y142/Y141-1</f>
        <v>-3.9621182837262792E-3</v>
      </c>
      <c r="AA142" s="178"/>
      <c r="AB142" s="97">
        <v>45860</v>
      </c>
      <c r="AC142" s="175">
        <v>163.04</v>
      </c>
      <c r="AD142" s="102">
        <f t="shared" si="13"/>
        <v>1.2268433321049876E-4</v>
      </c>
    </row>
    <row r="143" spans="2:30" x14ac:dyDescent="0.3">
      <c r="B143" s="52" t="s">
        <v>893</v>
      </c>
      <c r="C143" s="52" t="s">
        <v>894</v>
      </c>
      <c r="D143" s="97">
        <v>45861</v>
      </c>
      <c r="E143" s="175">
        <v>134.79</v>
      </c>
      <c r="F143" s="102">
        <f t="shared" si="10"/>
        <v>-8.8241782484007603E-3</v>
      </c>
      <c r="H143" s="97">
        <v>45861</v>
      </c>
      <c r="I143" s="175">
        <v>25219.9</v>
      </c>
      <c r="J143" s="102">
        <f t="shared" si="11"/>
        <v>6.3445446891372548E-3</v>
      </c>
      <c r="P143" s="97">
        <v>45861</v>
      </c>
      <c r="Q143" s="175">
        <v>977.4</v>
      </c>
      <c r="R143" s="102">
        <f t="shared" si="12"/>
        <v>1.2849740932642462E-2</v>
      </c>
      <c r="T143" s="97">
        <v>45861</v>
      </c>
      <c r="U143" s="175">
        <v>39.28</v>
      </c>
      <c r="V143" s="102">
        <f t="shared" si="14"/>
        <v>-5.3178019751836114E-3</v>
      </c>
      <c r="X143" s="97">
        <v>45861</v>
      </c>
      <c r="Y143" s="175">
        <v>1033.8</v>
      </c>
      <c r="Z143" s="102">
        <f>Y143/Y142-1</f>
        <v>3.0076646938972385E-3</v>
      </c>
      <c r="AA143" s="178"/>
      <c r="AB143" s="97">
        <v>45861</v>
      </c>
      <c r="AC143" s="175">
        <v>162.77000000000001</v>
      </c>
      <c r="AD143" s="102">
        <f t="shared" si="13"/>
        <v>-1.6560353287535801E-3</v>
      </c>
    </row>
    <row r="144" spans="2:30" x14ac:dyDescent="0.3">
      <c r="B144" s="52" t="s">
        <v>893</v>
      </c>
      <c r="C144" s="52" t="s">
        <v>894</v>
      </c>
      <c r="D144" s="97">
        <v>45862</v>
      </c>
      <c r="E144" s="175">
        <v>136.16999999999999</v>
      </c>
      <c r="F144" s="102">
        <f t="shared" si="10"/>
        <v>1.023814823058089E-2</v>
      </c>
      <c r="H144" s="97">
        <v>45862</v>
      </c>
      <c r="I144" s="175">
        <v>25062.1</v>
      </c>
      <c r="J144" s="102">
        <f t="shared" si="11"/>
        <v>-6.2569637468825601E-3</v>
      </c>
      <c r="P144" s="97">
        <v>45862</v>
      </c>
      <c r="Q144" s="175">
        <v>1000.45</v>
      </c>
      <c r="R144" s="102">
        <f t="shared" si="12"/>
        <v>2.3582975240433957E-2</v>
      </c>
      <c r="T144" s="97">
        <v>45862</v>
      </c>
      <c r="U144" s="175">
        <v>39.24</v>
      </c>
      <c r="V144" s="102">
        <f t="shared" si="14"/>
        <v>-1.0183299389001643E-3</v>
      </c>
      <c r="X144" s="97">
        <v>45862</v>
      </c>
      <c r="Y144" s="175">
        <v>1033.8</v>
      </c>
      <c r="Z144" s="102">
        <f>Y144/Y143-1</f>
        <v>0</v>
      </c>
      <c r="AA144" s="178"/>
      <c r="AB144" s="97">
        <v>45862</v>
      </c>
      <c r="AC144" s="175">
        <v>163.47999999999999</v>
      </c>
      <c r="AD144" s="102">
        <f t="shared" si="13"/>
        <v>4.3619831664309938E-3</v>
      </c>
    </row>
    <row r="145" spans="2:30" x14ac:dyDescent="0.3">
      <c r="B145" s="52" t="s">
        <v>893</v>
      </c>
      <c r="C145" s="52" t="s">
        <v>894</v>
      </c>
      <c r="D145" s="97">
        <v>45863</v>
      </c>
      <c r="E145" s="175">
        <v>130.66999999999999</v>
      </c>
      <c r="F145" s="102">
        <f t="shared" si="10"/>
        <v>-4.0390688110450212E-2</v>
      </c>
      <c r="H145" s="97">
        <v>45863</v>
      </c>
      <c r="I145" s="175">
        <v>24837</v>
      </c>
      <c r="J145" s="102">
        <f t="shared" si="11"/>
        <v>-8.9816894833233407E-3</v>
      </c>
      <c r="P145" s="97">
        <v>45863</v>
      </c>
      <c r="Q145" s="175">
        <v>1000.15</v>
      </c>
      <c r="R145" s="102">
        <f t="shared" si="12"/>
        <v>-2.9986506072277042E-4</v>
      </c>
      <c r="T145" s="97">
        <v>45863</v>
      </c>
      <c r="U145" s="175">
        <v>38.32</v>
      </c>
      <c r="V145" s="102">
        <f t="shared" si="14"/>
        <v>-2.3445463812436285E-2</v>
      </c>
      <c r="X145" s="97">
        <v>45863</v>
      </c>
      <c r="Y145" s="175">
        <v>1026.9000000000001</v>
      </c>
      <c r="Z145" s="102">
        <f>Y145/Y144-1</f>
        <v>-6.6744051073707178E-3</v>
      </c>
      <c r="AA145" s="178"/>
      <c r="AB145" s="97">
        <v>45863</v>
      </c>
      <c r="AC145" s="175">
        <v>161.43</v>
      </c>
      <c r="AD145" s="102">
        <f t="shared" si="13"/>
        <v>-1.2539760215316775E-2</v>
      </c>
    </row>
    <row r="146" spans="2:30" x14ac:dyDescent="0.3">
      <c r="B146" s="52" t="s">
        <v>893</v>
      </c>
      <c r="C146" s="52" t="s">
        <v>894</v>
      </c>
      <c r="D146" s="97">
        <v>45866</v>
      </c>
      <c r="E146" s="175">
        <v>125.59</v>
      </c>
      <c r="F146" s="102">
        <f t="shared" si="10"/>
        <v>-3.8876559271447064E-2</v>
      </c>
      <c r="H146" s="97">
        <v>45866</v>
      </c>
      <c r="I146" s="175">
        <v>24680.9</v>
      </c>
      <c r="J146" s="102">
        <f t="shared" si="11"/>
        <v>-6.2849780569311786E-3</v>
      </c>
      <c r="P146" s="97">
        <v>45866</v>
      </c>
      <c r="Q146" s="175">
        <v>977.7</v>
      </c>
      <c r="R146" s="102">
        <f t="shared" si="12"/>
        <v>-2.2446633005049121E-2</v>
      </c>
      <c r="T146" s="97">
        <v>45866</v>
      </c>
      <c r="U146" s="175">
        <v>37.659999999999997</v>
      </c>
      <c r="V146" s="102">
        <f t="shared" si="14"/>
        <v>-1.7223382045929103E-2</v>
      </c>
      <c r="X146" s="97">
        <v>45866</v>
      </c>
      <c r="Y146" s="175">
        <v>1028.8</v>
      </c>
      <c r="Z146" s="102">
        <f>Y146/Y145-1</f>
        <v>1.8502288440938042E-3</v>
      </c>
      <c r="AA146" s="178"/>
      <c r="AB146" s="97">
        <v>45866</v>
      </c>
      <c r="AC146" s="175">
        <v>159.68</v>
      </c>
      <c r="AD146" s="102">
        <f t="shared" si="13"/>
        <v>-1.0840612029981989E-2</v>
      </c>
    </row>
    <row r="147" spans="2:30" x14ac:dyDescent="0.3">
      <c r="B147" s="52" t="s">
        <v>893</v>
      </c>
      <c r="C147" s="52" t="s">
        <v>894</v>
      </c>
      <c r="D147" s="97">
        <v>45867</v>
      </c>
      <c r="E147" s="175">
        <v>126.01</v>
      </c>
      <c r="F147" s="102">
        <f t="shared" si="10"/>
        <v>3.3442153037661626E-3</v>
      </c>
      <c r="H147" s="97">
        <v>45867</v>
      </c>
      <c r="I147" s="175">
        <v>24821.1</v>
      </c>
      <c r="J147" s="102">
        <f t="shared" si="11"/>
        <v>5.6805059783069378E-3</v>
      </c>
      <c r="P147" s="97">
        <v>45867</v>
      </c>
      <c r="Q147" s="175">
        <v>984.35</v>
      </c>
      <c r="R147" s="102">
        <f t="shared" si="12"/>
        <v>6.8016774061572249E-3</v>
      </c>
      <c r="T147" s="97">
        <v>45867</v>
      </c>
      <c r="U147" s="175">
        <v>37.619999999999997</v>
      </c>
      <c r="V147" s="102">
        <f t="shared" si="14"/>
        <v>-1.0621348911311612E-3</v>
      </c>
      <c r="X147" s="97">
        <v>45867</v>
      </c>
      <c r="Y147" s="175">
        <v>1034.9000000000001</v>
      </c>
      <c r="Z147" s="102">
        <f>Y147/Y146-1</f>
        <v>5.9292379471229673E-3</v>
      </c>
      <c r="AA147" s="178"/>
      <c r="AB147" s="97">
        <v>45867</v>
      </c>
      <c r="AC147" s="175">
        <v>161.69</v>
      </c>
      <c r="AD147" s="102">
        <f t="shared" si="13"/>
        <v>1.2587675350701266E-2</v>
      </c>
    </row>
    <row r="148" spans="2:30" x14ac:dyDescent="0.3">
      <c r="B148" s="52" t="s">
        <v>893</v>
      </c>
      <c r="C148" s="52" t="s">
        <v>894</v>
      </c>
      <c r="D148" s="97">
        <v>45868</v>
      </c>
      <c r="E148" s="175">
        <v>124.16</v>
      </c>
      <c r="F148" s="102">
        <f t="shared" si="10"/>
        <v>-1.4681374494087795E-2</v>
      </c>
      <c r="H148" s="97">
        <v>45868</v>
      </c>
      <c r="I148" s="175">
        <v>24855.05</v>
      </c>
      <c r="J148" s="102">
        <f t="shared" si="11"/>
        <v>1.3677878901419138E-3</v>
      </c>
      <c r="P148" s="97">
        <v>45868</v>
      </c>
      <c r="Q148" s="175">
        <v>982.85</v>
      </c>
      <c r="R148" s="102">
        <f t="shared" si="12"/>
        <v>-1.5238482247168506E-3</v>
      </c>
      <c r="T148" s="97">
        <v>45868</v>
      </c>
      <c r="U148" s="175">
        <v>37.299999999999997</v>
      </c>
      <c r="V148" s="102">
        <f t="shared" si="14"/>
        <v>-8.5061137692716837E-3</v>
      </c>
      <c r="X148" s="97">
        <v>45868</v>
      </c>
      <c r="Y148" s="175">
        <v>1037.9000000000001</v>
      </c>
      <c r="Z148" s="102">
        <f>Y148/Y147-1</f>
        <v>2.8988308049087141E-3</v>
      </c>
      <c r="AA148" s="178"/>
      <c r="AB148" s="97">
        <v>45868</v>
      </c>
      <c r="AC148" s="175">
        <v>161.36000000000001</v>
      </c>
      <c r="AD148" s="102">
        <f t="shared" si="13"/>
        <v>-2.0409425443749241E-3</v>
      </c>
    </row>
    <row r="149" spans="2:30" x14ac:dyDescent="0.3">
      <c r="B149" s="52" t="s">
        <v>893</v>
      </c>
      <c r="C149" s="52" t="s">
        <v>894</v>
      </c>
      <c r="D149" s="97">
        <v>45869</v>
      </c>
      <c r="E149" s="175">
        <v>124.2</v>
      </c>
      <c r="F149" s="102">
        <f t="shared" si="10"/>
        <v>3.2216494845371813E-4</v>
      </c>
      <c r="H149" s="97">
        <v>45869</v>
      </c>
      <c r="I149" s="175">
        <v>24768.35</v>
      </c>
      <c r="J149" s="102">
        <f t="shared" si="11"/>
        <v>-3.4882247269669708E-3</v>
      </c>
      <c r="P149" s="97">
        <v>45869</v>
      </c>
      <c r="Q149" s="175">
        <v>965</v>
      </c>
      <c r="R149" s="102">
        <f t="shared" si="12"/>
        <v>-1.816146919672379E-2</v>
      </c>
      <c r="T149" s="97">
        <v>45869</v>
      </c>
      <c r="U149" s="175">
        <v>36.57</v>
      </c>
      <c r="V149" s="102">
        <f t="shared" si="14"/>
        <v>-1.9571045576407431E-2</v>
      </c>
      <c r="X149" s="97">
        <v>45869</v>
      </c>
      <c r="Y149" s="175">
        <v>1048.3</v>
      </c>
      <c r="Z149" s="102">
        <f>Y149/Y148-1</f>
        <v>1.002023316311762E-2</v>
      </c>
      <c r="AA149" s="178"/>
      <c r="AB149" s="97">
        <v>45869</v>
      </c>
      <c r="AC149" s="175">
        <v>157.94</v>
      </c>
      <c r="AD149" s="102">
        <f t="shared" si="13"/>
        <v>-2.1194843827466614E-2</v>
      </c>
    </row>
    <row r="150" spans="2:30" x14ac:dyDescent="0.3">
      <c r="B150" s="52" t="s">
        <v>893</v>
      </c>
      <c r="C150" s="52" t="s">
        <v>894</v>
      </c>
      <c r="D150" s="97">
        <v>45870</v>
      </c>
      <c r="E150" s="175">
        <v>120.12</v>
      </c>
      <c r="F150" s="102">
        <f t="shared" si="10"/>
        <v>-3.2850241545893666E-2</v>
      </c>
      <c r="H150" s="97">
        <v>45870</v>
      </c>
      <c r="I150" s="175">
        <v>24565.35</v>
      </c>
      <c r="J150" s="102">
        <f t="shared" si="11"/>
        <v>-8.195943613522938E-3</v>
      </c>
      <c r="P150" s="97">
        <v>45870</v>
      </c>
      <c r="Q150" s="175">
        <v>945.5</v>
      </c>
      <c r="R150" s="102">
        <f t="shared" si="12"/>
        <v>-2.0207253886010412E-2</v>
      </c>
      <c r="T150" s="97">
        <v>45870</v>
      </c>
      <c r="U150" s="175">
        <v>36.25</v>
      </c>
      <c r="V150" s="102">
        <f t="shared" si="14"/>
        <v>-8.7503418102269359E-3</v>
      </c>
      <c r="X150" s="97">
        <v>45870</v>
      </c>
      <c r="Y150" s="175">
        <v>1027.8</v>
      </c>
      <c r="Z150" s="102">
        <f>Y150/Y149-1</f>
        <v>-1.9555470762186444E-2</v>
      </c>
      <c r="AA150" s="178"/>
      <c r="AB150" s="97">
        <v>45870</v>
      </c>
      <c r="AC150" s="175">
        <v>153.01</v>
      </c>
      <c r="AD150" s="102">
        <f t="shared" si="13"/>
        <v>-3.1214385209573314E-2</v>
      </c>
    </row>
    <row r="151" spans="2:30" x14ac:dyDescent="0.3">
      <c r="B151" s="52" t="s">
        <v>893</v>
      </c>
      <c r="C151" s="52" t="s">
        <v>894</v>
      </c>
      <c r="D151" s="97">
        <v>45873</v>
      </c>
      <c r="E151" s="175">
        <v>125.48</v>
      </c>
      <c r="F151" s="102">
        <f t="shared" si="10"/>
        <v>4.4622044622044665E-2</v>
      </c>
      <c r="H151" s="97">
        <v>45873</v>
      </c>
      <c r="I151" s="175">
        <v>24722.75</v>
      </c>
      <c r="J151" s="102">
        <f t="shared" si="11"/>
        <v>6.4073990397044422E-3</v>
      </c>
      <c r="P151" s="97">
        <v>45873</v>
      </c>
      <c r="Q151" s="175">
        <v>980.2</v>
      </c>
      <c r="R151" s="102">
        <f t="shared" si="12"/>
        <v>3.6700158646219005E-2</v>
      </c>
      <c r="T151" s="97">
        <v>45873</v>
      </c>
      <c r="U151" s="175">
        <v>36.97</v>
      </c>
      <c r="V151" s="102">
        <f t="shared" si="14"/>
        <v>1.9862068965517121E-2</v>
      </c>
      <c r="X151" s="97">
        <v>45873</v>
      </c>
      <c r="Y151" s="175">
        <v>1055.9000000000001</v>
      </c>
      <c r="Z151" s="102">
        <f>Y151/Y150-1</f>
        <v>2.733994940649942E-2</v>
      </c>
      <c r="AA151" s="178"/>
      <c r="AB151" s="97">
        <v>45873</v>
      </c>
      <c r="AC151" s="175">
        <v>159.56</v>
      </c>
      <c r="AD151" s="102">
        <f t="shared" si="13"/>
        <v>4.2807659630089701E-2</v>
      </c>
    </row>
    <row r="152" spans="2:30" x14ac:dyDescent="0.3">
      <c r="B152" s="52" t="s">
        <v>893</v>
      </c>
      <c r="C152" s="52" t="s">
        <v>894</v>
      </c>
      <c r="D152" s="97">
        <v>45874</v>
      </c>
      <c r="E152" s="175">
        <v>125.16</v>
      </c>
      <c r="F152" s="102">
        <f t="shared" si="10"/>
        <v>-2.5502072043354085E-3</v>
      </c>
      <c r="H152" s="97">
        <v>45874</v>
      </c>
      <c r="I152" s="175">
        <v>24649.55</v>
      </c>
      <c r="J152" s="102">
        <f t="shared" si="11"/>
        <v>-2.9608356675532299E-3</v>
      </c>
      <c r="P152" s="97">
        <v>45874</v>
      </c>
      <c r="Q152" s="175">
        <v>999.8</v>
      </c>
      <c r="R152" s="102">
        <f t="shared" si="12"/>
        <v>1.9995919200163081E-2</v>
      </c>
      <c r="T152" s="97">
        <v>45874</v>
      </c>
      <c r="U152" s="175">
        <v>36.450000000000003</v>
      </c>
      <c r="V152" s="102">
        <f t="shared" si="14"/>
        <v>-1.4065458479848414E-2</v>
      </c>
      <c r="X152" s="97">
        <v>45874</v>
      </c>
      <c r="Y152" s="175">
        <v>1053.4000000000001</v>
      </c>
      <c r="Z152" s="102">
        <f>Y152/Y151-1</f>
        <v>-2.3676484515579022E-3</v>
      </c>
      <c r="AA152" s="178"/>
      <c r="AB152" s="97">
        <v>45874</v>
      </c>
      <c r="AC152" s="175">
        <v>159.62</v>
      </c>
      <c r="AD152" s="102">
        <f t="shared" si="13"/>
        <v>3.7603409375774888E-4</v>
      </c>
    </row>
    <row r="153" spans="2:30" x14ac:dyDescent="0.3">
      <c r="B153" s="52" t="s">
        <v>893</v>
      </c>
      <c r="C153" s="52" t="s">
        <v>894</v>
      </c>
      <c r="D153" s="97">
        <v>45875</v>
      </c>
      <c r="E153" s="175">
        <v>123.45</v>
      </c>
      <c r="F153" s="102">
        <f t="shared" si="10"/>
        <v>-1.366251198465962E-2</v>
      </c>
      <c r="H153" s="97">
        <v>45875</v>
      </c>
      <c r="I153" s="175">
        <v>24574.2</v>
      </c>
      <c r="J153" s="102">
        <f t="shared" si="11"/>
        <v>-3.0568509364268248E-3</v>
      </c>
      <c r="P153" s="97">
        <v>45875</v>
      </c>
      <c r="Q153" s="175">
        <v>985.9</v>
      </c>
      <c r="R153" s="102">
        <f t="shared" si="12"/>
        <v>-1.3902780556111161E-2</v>
      </c>
      <c r="T153" s="97">
        <v>45875</v>
      </c>
      <c r="U153" s="175">
        <v>36.18</v>
      </c>
      <c r="V153" s="102">
        <f t="shared" si="14"/>
        <v>-7.4074074074075291E-3</v>
      </c>
      <c r="X153" s="97">
        <v>45875</v>
      </c>
      <c r="Y153" s="175">
        <v>1052.5999999999999</v>
      </c>
      <c r="Z153" s="102">
        <f>Y153/Y152-1</f>
        <v>-7.5944560470875278E-4</v>
      </c>
      <c r="AA153" s="178"/>
      <c r="AB153" s="97">
        <v>45875</v>
      </c>
      <c r="AC153" s="175">
        <v>158.66</v>
      </c>
      <c r="AD153" s="102">
        <f t="shared" si="13"/>
        <v>-6.0142839243203516E-3</v>
      </c>
    </row>
    <row r="154" spans="2:30" x14ac:dyDescent="0.3">
      <c r="B154" s="52" t="s">
        <v>893</v>
      </c>
      <c r="C154" s="52" t="s">
        <v>894</v>
      </c>
      <c r="D154" s="97">
        <v>45876</v>
      </c>
      <c r="E154" s="175">
        <v>123.36</v>
      </c>
      <c r="F154" s="102">
        <f t="shared" si="10"/>
        <v>-7.2904009720542451E-4</v>
      </c>
      <c r="H154" s="97">
        <v>45876</v>
      </c>
      <c r="I154" s="175">
        <v>24596.15</v>
      </c>
      <c r="J154" s="102">
        <f t="shared" si="11"/>
        <v>8.9321320734758736E-4</v>
      </c>
      <c r="P154" s="97">
        <v>45876</v>
      </c>
      <c r="Q154" s="175">
        <v>999.5</v>
      </c>
      <c r="R154" s="102">
        <f t="shared" si="12"/>
        <v>1.3794502485038995E-2</v>
      </c>
      <c r="T154" s="97">
        <v>45876</v>
      </c>
      <c r="U154" s="175">
        <v>35.880000000000003</v>
      </c>
      <c r="V154" s="102">
        <f t="shared" si="14"/>
        <v>-8.2918739635157168E-3</v>
      </c>
      <c r="X154" s="97">
        <v>45876</v>
      </c>
      <c r="Y154" s="175">
        <v>1064.8</v>
      </c>
      <c r="Z154" s="102">
        <f>Y154/Y153-1</f>
        <v>1.1590347710431326E-2</v>
      </c>
      <c r="AA154" s="178"/>
      <c r="AB154" s="97">
        <v>45876</v>
      </c>
      <c r="AC154" s="175">
        <v>159.66999999999999</v>
      </c>
      <c r="AD154" s="102">
        <f t="shared" si="13"/>
        <v>6.3658136896507234E-3</v>
      </c>
    </row>
    <row r="155" spans="2:30" x14ac:dyDescent="0.3">
      <c r="B155" s="52" t="s">
        <v>893</v>
      </c>
      <c r="C155" s="52" t="s">
        <v>894</v>
      </c>
      <c r="D155" s="97">
        <v>45877</v>
      </c>
      <c r="E155" s="175">
        <v>121.07</v>
      </c>
      <c r="F155" s="102">
        <f t="shared" si="10"/>
        <v>-1.8563553826199786E-2</v>
      </c>
      <c r="H155" s="97">
        <v>45877</v>
      </c>
      <c r="I155" s="175">
        <v>24363.3</v>
      </c>
      <c r="J155" s="102">
        <f t="shared" si="11"/>
        <v>-9.4669287673071478E-3</v>
      </c>
      <c r="P155" s="97">
        <v>45877</v>
      </c>
      <c r="Q155" s="175">
        <v>974.1</v>
      </c>
      <c r="R155" s="102">
        <f t="shared" si="12"/>
        <v>-2.5412706353176606E-2</v>
      </c>
      <c r="T155" s="97">
        <v>45877</v>
      </c>
      <c r="U155" s="175">
        <v>35.659999999999997</v>
      </c>
      <c r="V155" s="102">
        <f t="shared" si="14"/>
        <v>-6.1315496098106603E-3</v>
      </c>
      <c r="X155" s="97">
        <v>45877</v>
      </c>
      <c r="Y155" s="175">
        <v>1049.2</v>
      </c>
      <c r="Z155" s="102">
        <f>Y155/Y154-1</f>
        <v>-1.4650638617580647E-2</v>
      </c>
      <c r="AA155" s="178"/>
      <c r="AB155" s="97">
        <v>45877</v>
      </c>
      <c r="AC155" s="175">
        <v>157.94999999999999</v>
      </c>
      <c r="AD155" s="102">
        <f t="shared" si="13"/>
        <v>-1.0772217699004161E-2</v>
      </c>
    </row>
    <row r="156" spans="2:30" x14ac:dyDescent="0.3">
      <c r="B156" s="52" t="s">
        <v>893</v>
      </c>
      <c r="C156" s="52" t="s">
        <v>894</v>
      </c>
      <c r="D156" s="97">
        <v>45880</v>
      </c>
      <c r="E156" s="175">
        <v>121.67</v>
      </c>
      <c r="F156" s="102">
        <f t="shared" si="10"/>
        <v>4.9558106880318586E-3</v>
      </c>
      <c r="H156" s="97">
        <v>45880</v>
      </c>
      <c r="I156" s="175">
        <v>24585.05</v>
      </c>
      <c r="J156" s="102">
        <f t="shared" si="11"/>
        <v>9.1018047637225763E-3</v>
      </c>
      <c r="P156" s="97">
        <v>45880</v>
      </c>
      <c r="Q156" s="175">
        <v>991</v>
      </c>
      <c r="R156" s="102">
        <f t="shared" si="12"/>
        <v>1.7349348116209917E-2</v>
      </c>
      <c r="T156" s="97">
        <v>45880</v>
      </c>
      <c r="U156" s="175">
        <v>36.08</v>
      </c>
      <c r="V156" s="102">
        <f t="shared" si="14"/>
        <v>1.1777902411665764E-2</v>
      </c>
      <c r="X156" s="97">
        <v>45880</v>
      </c>
      <c r="Y156" s="175">
        <v>1052.7</v>
      </c>
      <c r="Z156" s="102">
        <f>Y156/Y155-1</f>
        <v>3.335874952344664E-3</v>
      </c>
      <c r="AA156" s="178"/>
      <c r="AB156" s="97">
        <v>45880</v>
      </c>
      <c r="AC156" s="175">
        <v>158.52000000000001</v>
      </c>
      <c r="AD156" s="102">
        <f t="shared" si="13"/>
        <v>3.6087369420703119E-3</v>
      </c>
    </row>
    <row r="157" spans="2:30" x14ac:dyDescent="0.3">
      <c r="B157" s="52" t="s">
        <v>893</v>
      </c>
      <c r="C157" s="52" t="s">
        <v>894</v>
      </c>
      <c r="D157" s="97">
        <v>45881</v>
      </c>
      <c r="E157" s="175">
        <v>122.19</v>
      </c>
      <c r="F157" s="102">
        <f t="shared" si="10"/>
        <v>4.2738555108079446E-3</v>
      </c>
      <c r="H157" s="97">
        <v>45881</v>
      </c>
      <c r="I157" s="175">
        <v>24487.4</v>
      </c>
      <c r="J157" s="102">
        <f t="shared" si="11"/>
        <v>-3.9719260282162772E-3</v>
      </c>
      <c r="P157" s="97">
        <v>45881</v>
      </c>
      <c r="Q157" s="175">
        <v>998.5</v>
      </c>
      <c r="R157" s="102">
        <f t="shared" si="12"/>
        <v>7.5681130171543209E-3</v>
      </c>
      <c r="T157" s="97">
        <v>45881</v>
      </c>
      <c r="U157" s="175">
        <v>35.85</v>
      </c>
      <c r="V157" s="102">
        <f t="shared" si="14"/>
        <v>-6.3747228381373366E-3</v>
      </c>
      <c r="X157" s="97">
        <v>45881</v>
      </c>
      <c r="Y157" s="175">
        <v>1048.2</v>
      </c>
      <c r="Z157" s="102">
        <f>Y157/Y156-1</f>
        <v>-4.274722143060683E-3</v>
      </c>
      <c r="AA157" s="178"/>
      <c r="AB157" s="97">
        <v>45881</v>
      </c>
      <c r="AC157" s="175">
        <v>160.16</v>
      </c>
      <c r="AD157" s="102">
        <f t="shared" si="13"/>
        <v>1.0345697703759704E-2</v>
      </c>
    </row>
    <row r="158" spans="2:30" x14ac:dyDescent="0.3">
      <c r="B158" s="52" t="s">
        <v>893</v>
      </c>
      <c r="C158" s="52" t="s">
        <v>894</v>
      </c>
      <c r="D158" s="97">
        <v>45882</v>
      </c>
      <c r="E158" s="175">
        <v>124.05</v>
      </c>
      <c r="F158" s="102">
        <f t="shared" si="10"/>
        <v>1.5222194942303036E-2</v>
      </c>
      <c r="H158" s="97">
        <v>45882</v>
      </c>
      <c r="I158" s="175">
        <v>24619.35</v>
      </c>
      <c r="J158" s="102">
        <f t="shared" si="11"/>
        <v>5.3884855068320192E-3</v>
      </c>
      <c r="P158" s="97">
        <v>45882</v>
      </c>
      <c r="Q158" s="175">
        <v>996.35</v>
      </c>
      <c r="R158" s="102">
        <f t="shared" si="12"/>
        <v>-2.1532298447671794E-3</v>
      </c>
      <c r="T158" s="97">
        <v>45882</v>
      </c>
      <c r="U158" s="175">
        <v>43.02</v>
      </c>
      <c r="V158" s="102">
        <f t="shared" si="14"/>
        <v>0.19999999999999996</v>
      </c>
      <c r="X158" s="97">
        <v>45882</v>
      </c>
      <c r="Y158" s="175">
        <v>1053.7</v>
      </c>
      <c r="Z158" s="102">
        <f>Y158/Y157-1</f>
        <v>5.2470902499524019E-3</v>
      </c>
      <c r="AA158" s="178"/>
      <c r="AB158" s="97">
        <v>45882</v>
      </c>
      <c r="AC158" s="175">
        <v>160.18</v>
      </c>
      <c r="AD158" s="102">
        <f t="shared" si="13"/>
        <v>1.2487512487524555E-4</v>
      </c>
    </row>
    <row r="159" spans="2:30" x14ac:dyDescent="0.3">
      <c r="B159" s="52" t="s">
        <v>893</v>
      </c>
      <c r="C159" s="52" t="s">
        <v>894</v>
      </c>
      <c r="D159" s="97">
        <v>45883</v>
      </c>
      <c r="E159" s="175">
        <v>120.37</v>
      </c>
      <c r="F159" s="102">
        <f t="shared" si="10"/>
        <v>-2.9665457476823809E-2</v>
      </c>
      <c r="H159" s="97">
        <v>45883</v>
      </c>
      <c r="I159" s="175">
        <v>24631.3</v>
      </c>
      <c r="J159" s="102">
        <f t="shared" si="11"/>
        <v>4.8539055661511732E-4</v>
      </c>
      <c r="P159" s="97">
        <v>45883</v>
      </c>
      <c r="Q159" s="175">
        <v>975.4</v>
      </c>
      <c r="R159" s="102">
        <f t="shared" si="12"/>
        <v>-2.1026747628845377E-2</v>
      </c>
      <c r="T159" s="97">
        <v>45883</v>
      </c>
      <c r="U159" s="175">
        <v>40.08</v>
      </c>
      <c r="V159" s="102">
        <f t="shared" si="14"/>
        <v>-6.8340306834030806E-2</v>
      </c>
      <c r="X159" s="97">
        <v>45883</v>
      </c>
      <c r="Y159" s="175">
        <v>1045.5</v>
      </c>
      <c r="Z159" s="102">
        <f>Y159/Y158-1</f>
        <v>-7.7821011673152585E-3</v>
      </c>
      <c r="AA159" s="178"/>
      <c r="AB159" s="97">
        <v>45883</v>
      </c>
      <c r="AC159" s="175">
        <v>155.30000000000001</v>
      </c>
      <c r="AD159" s="102">
        <f t="shared" si="13"/>
        <v>-3.0465726058184539E-2</v>
      </c>
    </row>
    <row r="160" spans="2:30" x14ac:dyDescent="0.3">
      <c r="B160" s="52" t="s">
        <v>893</v>
      </c>
      <c r="C160" s="52" t="s">
        <v>894</v>
      </c>
      <c r="D160" s="97">
        <v>45887</v>
      </c>
      <c r="E160" s="175">
        <v>122.44</v>
      </c>
      <c r="F160" s="102">
        <f t="shared" si="10"/>
        <v>1.7196975990695362E-2</v>
      </c>
      <c r="H160" s="97">
        <v>45887</v>
      </c>
      <c r="I160" s="175">
        <v>24876.95</v>
      </c>
      <c r="J160" s="102">
        <f t="shared" si="11"/>
        <v>9.9730830285045258E-3</v>
      </c>
      <c r="P160" s="97">
        <v>45887</v>
      </c>
      <c r="Q160" s="175">
        <v>992.85</v>
      </c>
      <c r="R160" s="102">
        <f t="shared" si="12"/>
        <v>1.789009637071981E-2</v>
      </c>
      <c r="T160" s="97">
        <v>45887</v>
      </c>
      <c r="U160" s="175">
        <v>39.700000000000003</v>
      </c>
      <c r="V160" s="102">
        <f t="shared" si="14"/>
        <v>-9.4810379241515585E-3</v>
      </c>
      <c r="X160" s="97">
        <v>45887</v>
      </c>
      <c r="Y160" s="175">
        <v>1079.8</v>
      </c>
      <c r="Z160" s="102">
        <f>Y160/Y159-1</f>
        <v>3.2807269249162996E-2</v>
      </c>
      <c r="AA160" s="178"/>
      <c r="AB160" s="97">
        <v>45887</v>
      </c>
      <c r="AC160" s="175">
        <v>157.96</v>
      </c>
      <c r="AD160" s="102">
        <f t="shared" si="13"/>
        <v>1.7128139085640592E-2</v>
      </c>
    </row>
    <row r="161" spans="2:30" x14ac:dyDescent="0.3">
      <c r="B161" s="52" t="s">
        <v>893</v>
      </c>
      <c r="C161" s="52" t="s">
        <v>894</v>
      </c>
      <c r="D161" s="97">
        <v>45888</v>
      </c>
      <c r="E161" s="175">
        <v>122.98</v>
      </c>
      <c r="F161" s="102">
        <f t="shared" si="10"/>
        <v>4.4103234237178324E-3</v>
      </c>
      <c r="H161" s="97">
        <v>45888</v>
      </c>
      <c r="I161" s="175">
        <v>24980.65</v>
      </c>
      <c r="J161" s="102">
        <f t="shared" si="11"/>
        <v>4.1685174428538474E-3</v>
      </c>
      <c r="P161" s="97">
        <v>45888</v>
      </c>
      <c r="Q161" s="175">
        <v>1005.25</v>
      </c>
      <c r="R161" s="102">
        <f t="shared" si="12"/>
        <v>1.2489298484161804E-2</v>
      </c>
      <c r="T161" s="97">
        <v>45888</v>
      </c>
      <c r="U161" s="175">
        <v>39.729999999999997</v>
      </c>
      <c r="V161" s="102">
        <f t="shared" si="14"/>
        <v>7.5566750629718626E-4</v>
      </c>
      <c r="X161" s="97">
        <v>45888</v>
      </c>
      <c r="Y161" s="175">
        <v>1073.4000000000001</v>
      </c>
      <c r="Z161" s="102">
        <f>Y161/Y160-1</f>
        <v>-5.9270235228744417E-3</v>
      </c>
      <c r="AA161" s="178"/>
      <c r="AB161" s="97">
        <v>45888</v>
      </c>
      <c r="AC161" s="175">
        <v>159.22999999999999</v>
      </c>
      <c r="AD161" s="102">
        <f t="shared" si="13"/>
        <v>8.0400101291464576E-3</v>
      </c>
    </row>
    <row r="162" spans="2:30" x14ac:dyDescent="0.3">
      <c r="B162" s="52" t="s">
        <v>893</v>
      </c>
      <c r="C162" s="52" t="s">
        <v>894</v>
      </c>
      <c r="D162" s="97">
        <v>45889</v>
      </c>
      <c r="E162" s="175">
        <v>124.09</v>
      </c>
      <c r="F162" s="102">
        <f t="shared" si="10"/>
        <v>9.0258578630670883E-3</v>
      </c>
      <c r="H162" s="97">
        <v>45889</v>
      </c>
      <c r="I162" s="175">
        <v>25050.55</v>
      </c>
      <c r="J162" s="102">
        <f t="shared" si="11"/>
        <v>2.7981657803137772E-3</v>
      </c>
      <c r="P162" s="97">
        <v>45889</v>
      </c>
      <c r="Q162" s="175">
        <v>1016.25</v>
      </c>
      <c r="R162" s="102">
        <f t="shared" si="12"/>
        <v>1.0942551604078643E-2</v>
      </c>
      <c r="T162" s="97">
        <v>45889</v>
      </c>
      <c r="U162" s="175">
        <v>40.06</v>
      </c>
      <c r="V162" s="102">
        <f t="shared" si="14"/>
        <v>8.3060659451297258E-3</v>
      </c>
      <c r="X162" s="97">
        <v>45889</v>
      </c>
      <c r="Y162" s="175">
        <v>1082.5999999999999</v>
      </c>
      <c r="Z162" s="102">
        <f>Y162/Y161-1</f>
        <v>8.5708962176260783E-3</v>
      </c>
      <c r="AA162" s="178"/>
      <c r="AB162" s="97">
        <v>45889</v>
      </c>
      <c r="AC162" s="175">
        <v>161.91999999999999</v>
      </c>
      <c r="AD162" s="102">
        <f t="shared" si="13"/>
        <v>1.6893801419330501E-2</v>
      </c>
    </row>
    <row r="163" spans="2:30" x14ac:dyDescent="0.3">
      <c r="B163" s="52" t="s">
        <v>893</v>
      </c>
      <c r="C163" s="52" t="s">
        <v>894</v>
      </c>
      <c r="D163" s="97">
        <v>45890</v>
      </c>
      <c r="E163" s="175">
        <v>123.25</v>
      </c>
      <c r="F163" s="102">
        <f t="shared" si="10"/>
        <v>-6.769280361028307E-3</v>
      </c>
      <c r="H163" s="97">
        <v>45890</v>
      </c>
      <c r="I163" s="175">
        <v>25083.75</v>
      </c>
      <c r="J163" s="102">
        <f t="shared" si="11"/>
        <v>1.3253202025504951E-3</v>
      </c>
      <c r="P163" s="97">
        <v>45890</v>
      </c>
      <c r="Q163" s="175">
        <v>1010.15</v>
      </c>
      <c r="R163" s="102">
        <f t="shared" si="12"/>
        <v>-6.0024600246002535E-3</v>
      </c>
      <c r="T163" s="97">
        <v>45890</v>
      </c>
      <c r="U163" s="175">
        <v>39.049999999999997</v>
      </c>
      <c r="V163" s="102">
        <f t="shared" si="14"/>
        <v>-2.5212181727409022E-2</v>
      </c>
      <c r="X163" s="97">
        <v>45890</v>
      </c>
      <c r="Y163" s="175">
        <v>1071.8</v>
      </c>
      <c r="Z163" s="102">
        <f>Y163/Y162-1</f>
        <v>-9.9759837428412546E-3</v>
      </c>
      <c r="AA163" s="178"/>
      <c r="AB163" s="97">
        <v>45890</v>
      </c>
      <c r="AC163" s="175">
        <v>161.51</v>
      </c>
      <c r="AD163" s="102">
        <f t="shared" si="13"/>
        <v>-2.5321146245058657E-3</v>
      </c>
    </row>
    <row r="164" spans="2:30" x14ac:dyDescent="0.3">
      <c r="B164" s="52" t="s">
        <v>893</v>
      </c>
      <c r="C164" s="52" t="s">
        <v>894</v>
      </c>
      <c r="D164" s="97">
        <v>45891</v>
      </c>
      <c r="E164" s="175">
        <v>121.93</v>
      </c>
      <c r="F164" s="102">
        <f t="shared" si="10"/>
        <v>-1.0709939148072944E-2</v>
      </c>
      <c r="H164" s="97">
        <v>45891</v>
      </c>
      <c r="I164" s="175">
        <v>24870.1</v>
      </c>
      <c r="J164" s="102">
        <f t="shared" si="11"/>
        <v>-8.5174664872676997E-3</v>
      </c>
      <c r="P164" s="97">
        <v>45891</v>
      </c>
      <c r="Q164" s="175">
        <v>997.25</v>
      </c>
      <c r="R164" s="102">
        <f t="shared" si="12"/>
        <v>-1.2770380636539125E-2</v>
      </c>
      <c r="T164" s="97">
        <v>45891</v>
      </c>
      <c r="U164" s="175">
        <v>38.75</v>
      </c>
      <c r="V164" s="102">
        <f t="shared" si="14"/>
        <v>-7.6824583866836882E-3</v>
      </c>
      <c r="X164" s="97">
        <v>45891</v>
      </c>
      <c r="Y164" s="175">
        <v>1054.5999999999999</v>
      </c>
      <c r="Z164" s="102">
        <f>Y164/Y163-1</f>
        <v>-1.6047770106363157E-2</v>
      </c>
      <c r="AA164" s="178"/>
      <c r="AB164" s="97">
        <v>45891</v>
      </c>
      <c r="AC164" s="175">
        <v>158.55000000000001</v>
      </c>
      <c r="AD164" s="102">
        <f t="shared" si="13"/>
        <v>-1.832703857346285E-2</v>
      </c>
    </row>
    <row r="165" spans="2:30" x14ac:dyDescent="0.3">
      <c r="B165" s="52" t="s">
        <v>893</v>
      </c>
      <c r="C165" s="52" t="s">
        <v>894</v>
      </c>
      <c r="D165" s="97">
        <v>45894</v>
      </c>
      <c r="E165" s="175">
        <v>122.84</v>
      </c>
      <c r="F165" s="102">
        <f t="shared" si="10"/>
        <v>7.4632986139588908E-3</v>
      </c>
      <c r="H165" s="97">
        <v>45894</v>
      </c>
      <c r="I165" s="175">
        <v>24967.75</v>
      </c>
      <c r="J165" s="102">
        <f t="shared" si="11"/>
        <v>3.9264015826234733E-3</v>
      </c>
      <c r="P165" s="97">
        <v>45894</v>
      </c>
      <c r="Q165" s="175">
        <v>996.2</v>
      </c>
      <c r="R165" s="102">
        <f t="shared" si="12"/>
        <v>-1.0528954625218523E-3</v>
      </c>
      <c r="T165" s="97">
        <v>45894</v>
      </c>
      <c r="U165" s="175">
        <v>39.090000000000003</v>
      </c>
      <c r="V165" s="102">
        <f t="shared" si="14"/>
        <v>8.7741935483871547E-3</v>
      </c>
      <c r="X165" s="97">
        <v>45894</v>
      </c>
      <c r="Y165" s="175">
        <v>1057.8</v>
      </c>
      <c r="Z165" s="102">
        <f>Y165/Y164-1</f>
        <v>3.0343258107339288E-3</v>
      </c>
      <c r="AA165" s="178"/>
      <c r="AB165" s="97">
        <v>45894</v>
      </c>
      <c r="AC165" s="175">
        <v>159.63</v>
      </c>
      <c r="AD165" s="102">
        <f t="shared" si="13"/>
        <v>6.8117313150424241E-3</v>
      </c>
    </row>
    <row r="166" spans="2:30" x14ac:dyDescent="0.3">
      <c r="B166" s="52" t="s">
        <v>893</v>
      </c>
      <c r="C166" s="52" t="s">
        <v>894</v>
      </c>
      <c r="D166" s="97">
        <v>45895</v>
      </c>
      <c r="E166" s="175">
        <v>119.94</v>
      </c>
      <c r="F166" s="102">
        <f t="shared" si="10"/>
        <v>-2.3607945294692345E-2</v>
      </c>
      <c r="H166" s="97">
        <v>45895</v>
      </c>
      <c r="I166" s="175">
        <v>24712.05</v>
      </c>
      <c r="J166" s="102">
        <f t="shared" si="11"/>
        <v>-1.0241211162399511E-2</v>
      </c>
      <c r="P166" s="97">
        <v>45895</v>
      </c>
      <c r="Q166" s="175">
        <v>977.15</v>
      </c>
      <c r="R166" s="102">
        <f t="shared" si="12"/>
        <v>-1.9122666131298982E-2</v>
      </c>
      <c r="T166" s="97">
        <v>45895</v>
      </c>
      <c r="U166" s="175">
        <v>38.25</v>
      </c>
      <c r="V166" s="102">
        <f t="shared" si="14"/>
        <v>-2.1488871834228762E-2</v>
      </c>
      <c r="X166" s="97">
        <v>45895</v>
      </c>
      <c r="Y166" s="175">
        <v>1047.0999999999999</v>
      </c>
      <c r="Z166" s="102">
        <f>Y166/Y165-1</f>
        <v>-1.0115333711476659E-2</v>
      </c>
      <c r="AA166" s="178"/>
      <c r="AB166" s="97">
        <v>45895</v>
      </c>
      <c r="AC166" s="175">
        <v>155.03</v>
      </c>
      <c r="AD166" s="102">
        <f t="shared" si="13"/>
        <v>-2.8816638476476863E-2</v>
      </c>
    </row>
    <row r="167" spans="2:30" x14ac:dyDescent="0.3">
      <c r="B167" s="52" t="s">
        <v>893</v>
      </c>
      <c r="C167" s="52" t="s">
        <v>894</v>
      </c>
      <c r="D167" s="97">
        <v>45897</v>
      </c>
      <c r="E167" s="175">
        <v>119.25</v>
      </c>
      <c r="F167" s="102">
        <f t="shared" si="10"/>
        <v>-5.75287643821909E-3</v>
      </c>
      <c r="H167" s="97">
        <v>45897</v>
      </c>
      <c r="I167" s="175">
        <v>24500.9</v>
      </c>
      <c r="J167" s="102">
        <f t="shared" si="11"/>
        <v>-8.5444145669824056E-3</v>
      </c>
      <c r="P167" s="97">
        <v>45897</v>
      </c>
      <c r="Q167" s="175">
        <v>964.7</v>
      </c>
      <c r="R167" s="102">
        <f t="shared" si="12"/>
        <v>-1.2741134933224152E-2</v>
      </c>
      <c r="T167" s="97">
        <v>45897</v>
      </c>
      <c r="U167" s="175">
        <v>37.79</v>
      </c>
      <c r="V167" s="102">
        <f t="shared" si="14"/>
        <v>-1.2026143790849653E-2</v>
      </c>
      <c r="X167" s="97">
        <v>45897</v>
      </c>
      <c r="Y167" s="175">
        <v>1035.8</v>
      </c>
      <c r="Z167" s="102">
        <f>Y167/Y166-1</f>
        <v>-1.0791710438353475E-2</v>
      </c>
      <c r="AA167" s="178"/>
      <c r="AB167" s="97">
        <v>45897</v>
      </c>
      <c r="AC167" s="175">
        <v>153.63</v>
      </c>
      <c r="AD167" s="102">
        <f t="shared" si="13"/>
        <v>-9.0305102238277257E-3</v>
      </c>
    </row>
    <row r="168" spans="2:30" x14ac:dyDescent="0.3">
      <c r="B168" s="52" t="s">
        <v>893</v>
      </c>
      <c r="C168" s="52" t="s">
        <v>894</v>
      </c>
      <c r="D168" s="97">
        <v>45898</v>
      </c>
      <c r="E168" s="175">
        <v>118.66</v>
      </c>
      <c r="F168" s="102">
        <f t="shared" si="10"/>
        <v>-4.9475890985325455E-3</v>
      </c>
      <c r="H168" s="97">
        <v>45898</v>
      </c>
      <c r="I168" s="175">
        <v>24426.85</v>
      </c>
      <c r="J168" s="102">
        <f t="shared" si="11"/>
        <v>-3.0223379549323415E-3</v>
      </c>
      <c r="P168" s="97">
        <v>45898</v>
      </c>
      <c r="Q168" s="175">
        <v>945.8</v>
      </c>
      <c r="R168" s="102">
        <f t="shared" si="12"/>
        <v>-1.9591582875505442E-2</v>
      </c>
      <c r="T168" s="97">
        <v>45898</v>
      </c>
      <c r="U168" s="175">
        <v>37.82</v>
      </c>
      <c r="V168" s="102">
        <f t="shared" si="14"/>
        <v>7.9386080973797846E-4</v>
      </c>
      <c r="X168" s="97">
        <v>45898</v>
      </c>
      <c r="Y168" s="175">
        <v>1026.5999999999999</v>
      </c>
      <c r="Z168" s="102">
        <f>Y168/Y167-1</f>
        <v>-8.8820235566712258E-3</v>
      </c>
      <c r="AA168" s="178"/>
      <c r="AB168" s="97">
        <v>45898</v>
      </c>
      <c r="AC168" s="175">
        <v>154.47999999999999</v>
      </c>
      <c r="AD168" s="102">
        <f t="shared" si="13"/>
        <v>5.5327735468333472E-3</v>
      </c>
    </row>
    <row r="169" spans="2:30" x14ac:dyDescent="0.3">
      <c r="B169" s="52" t="s">
        <v>893</v>
      </c>
      <c r="C169" s="52" t="s">
        <v>894</v>
      </c>
      <c r="D169" s="97">
        <v>45901</v>
      </c>
      <c r="E169" s="175">
        <v>121.09</v>
      </c>
      <c r="F169" s="102">
        <f t="shared" si="10"/>
        <v>2.0478678577448228E-2</v>
      </c>
      <c r="H169" s="97">
        <v>45901</v>
      </c>
      <c r="I169" s="175">
        <v>24625.05</v>
      </c>
      <c r="J169" s="102">
        <f t="shared" si="11"/>
        <v>8.1140220699762455E-3</v>
      </c>
      <c r="P169" s="97">
        <v>45901</v>
      </c>
      <c r="Q169" s="175">
        <v>962.85</v>
      </c>
      <c r="R169" s="102">
        <f t="shared" si="12"/>
        <v>1.8027067033199451E-2</v>
      </c>
      <c r="T169" s="97">
        <v>45901</v>
      </c>
      <c r="U169" s="175">
        <v>38.01</v>
      </c>
      <c r="V169" s="102">
        <f t="shared" si="14"/>
        <v>5.0237969328397192E-3</v>
      </c>
      <c r="X169" s="97">
        <v>45901</v>
      </c>
      <c r="Y169" s="175">
        <v>1035.5</v>
      </c>
      <c r="Z169" s="102">
        <f>Y169/Y168-1</f>
        <v>8.66939411650125E-3</v>
      </c>
      <c r="AA169" s="178"/>
      <c r="AB169" s="97">
        <v>45901</v>
      </c>
      <c r="AC169" s="175">
        <v>156.16999999999999</v>
      </c>
      <c r="AD169" s="102">
        <f t="shared" si="13"/>
        <v>1.0939927498705426E-2</v>
      </c>
    </row>
    <row r="170" spans="2:30" x14ac:dyDescent="0.3">
      <c r="B170" s="52" t="s">
        <v>893</v>
      </c>
      <c r="C170" s="52" t="s">
        <v>894</v>
      </c>
      <c r="D170" s="97">
        <v>45902</v>
      </c>
      <c r="E170" s="175">
        <v>123.09</v>
      </c>
      <c r="F170" s="102">
        <f t="shared" si="10"/>
        <v>1.6516640515319203E-2</v>
      </c>
      <c r="H170" s="97">
        <v>45902</v>
      </c>
      <c r="I170" s="175">
        <v>24579.599999999999</v>
      </c>
      <c r="J170" s="102">
        <f t="shared" si="11"/>
        <v>-1.8456815316111319E-3</v>
      </c>
      <c r="P170" s="97">
        <v>45902</v>
      </c>
      <c r="Q170" s="175">
        <v>975.15</v>
      </c>
      <c r="R170" s="102">
        <f t="shared" si="12"/>
        <v>1.2774575479046479E-2</v>
      </c>
      <c r="T170" s="97">
        <v>45902</v>
      </c>
      <c r="U170" s="175">
        <v>39.229999999999997</v>
      </c>
      <c r="V170" s="102">
        <f t="shared" si="14"/>
        <v>3.2096816627203317E-2</v>
      </c>
      <c r="X170" s="97">
        <v>45902</v>
      </c>
      <c r="Y170" s="175">
        <v>1044</v>
      </c>
      <c r="Z170" s="102">
        <f>Y170/Y169-1</f>
        <v>8.2085948816996712E-3</v>
      </c>
      <c r="AA170" s="178"/>
      <c r="AB170" s="97">
        <v>45902</v>
      </c>
      <c r="AC170" s="175">
        <v>158.38999999999999</v>
      </c>
      <c r="AD170" s="102">
        <f t="shared" si="13"/>
        <v>1.4215278222449834E-2</v>
      </c>
    </row>
    <row r="171" spans="2:30" x14ac:dyDescent="0.3">
      <c r="B171" s="52" t="s">
        <v>893</v>
      </c>
      <c r="C171" s="52" t="s">
        <v>894</v>
      </c>
      <c r="D171" s="97">
        <v>45903</v>
      </c>
      <c r="E171" s="175">
        <v>129.68</v>
      </c>
      <c r="F171" s="102">
        <f t="shared" si="10"/>
        <v>5.3538061580957086E-2</v>
      </c>
      <c r="H171" s="97">
        <v>45903</v>
      </c>
      <c r="I171" s="175">
        <v>24715.05</v>
      </c>
      <c r="J171" s="102">
        <f t="shared" si="11"/>
        <v>5.510667382707668E-3</v>
      </c>
      <c r="P171" s="97">
        <v>45903</v>
      </c>
      <c r="Q171" s="175">
        <v>1028.3499999999999</v>
      </c>
      <c r="R171" s="102">
        <f t="shared" si="12"/>
        <v>5.4555709378044437E-2</v>
      </c>
      <c r="T171" s="97">
        <v>45903</v>
      </c>
      <c r="U171" s="175">
        <v>43</v>
      </c>
      <c r="V171" s="102">
        <f t="shared" si="14"/>
        <v>9.6099923527912301E-2</v>
      </c>
      <c r="X171" s="97">
        <v>45903</v>
      </c>
      <c r="Y171" s="175">
        <v>1072.2</v>
      </c>
      <c r="Z171" s="102">
        <f>Y171/Y170-1</f>
        <v>2.7011494252873636E-2</v>
      </c>
      <c r="AA171" s="178"/>
      <c r="AB171" s="97">
        <v>45903</v>
      </c>
      <c r="AC171" s="175">
        <v>167.85</v>
      </c>
      <c r="AD171" s="102">
        <f t="shared" si="13"/>
        <v>5.9725992802575956E-2</v>
      </c>
    </row>
    <row r="172" spans="2:30" x14ac:dyDescent="0.3">
      <c r="B172" s="52" t="s">
        <v>893</v>
      </c>
      <c r="C172" s="52" t="s">
        <v>894</v>
      </c>
      <c r="D172" s="97">
        <v>45904</v>
      </c>
      <c r="E172" s="175">
        <v>127.57</v>
      </c>
      <c r="F172" s="102">
        <f t="shared" si="10"/>
        <v>-1.6270820481184556E-2</v>
      </c>
      <c r="H172" s="97">
        <v>45904</v>
      </c>
      <c r="I172" s="175">
        <v>24734.3</v>
      </c>
      <c r="J172" s="102">
        <f t="shared" si="11"/>
        <v>7.7887764742534671E-4</v>
      </c>
      <c r="P172" s="97">
        <v>45904</v>
      </c>
      <c r="Q172" s="175">
        <v>1031.8499999999999</v>
      </c>
      <c r="R172" s="102">
        <f t="shared" si="12"/>
        <v>3.4035104779501779E-3</v>
      </c>
      <c r="T172" s="97">
        <v>45904</v>
      </c>
      <c r="U172" s="175">
        <v>41.77</v>
      </c>
      <c r="V172" s="102">
        <f t="shared" si="14"/>
        <v>-2.8604651162790651E-2</v>
      </c>
      <c r="X172" s="97">
        <v>45904</v>
      </c>
      <c r="Y172" s="175">
        <v>1072.4000000000001</v>
      </c>
      <c r="Z172" s="102">
        <f>Y172/Y171-1</f>
        <v>1.865323633651883E-4</v>
      </c>
      <c r="AA172" s="178"/>
      <c r="AB172" s="97">
        <v>45904</v>
      </c>
      <c r="AC172" s="175">
        <v>166.81</v>
      </c>
      <c r="AD172" s="102">
        <f t="shared" si="13"/>
        <v>-6.196008340780379E-3</v>
      </c>
    </row>
    <row r="173" spans="2:30" x14ac:dyDescent="0.3">
      <c r="B173" s="52" t="s">
        <v>893</v>
      </c>
      <c r="C173" s="52" t="s">
        <v>894</v>
      </c>
      <c r="D173" s="97">
        <v>45905</v>
      </c>
      <c r="E173" s="175">
        <v>129.26</v>
      </c>
      <c r="F173" s="102">
        <f t="shared" si="10"/>
        <v>1.3247628752841578E-2</v>
      </c>
      <c r="H173" s="97">
        <v>45905</v>
      </c>
      <c r="I173" s="175">
        <v>24741</v>
      </c>
      <c r="J173" s="102">
        <f t="shared" si="11"/>
        <v>2.7087890095933709E-4</v>
      </c>
      <c r="P173" s="97">
        <v>45905</v>
      </c>
      <c r="Q173" s="175">
        <v>1034.8499999999999</v>
      </c>
      <c r="R173" s="102">
        <f t="shared" si="12"/>
        <v>2.9073993312982438E-3</v>
      </c>
      <c r="T173" s="97">
        <v>45905</v>
      </c>
      <c r="U173" s="175">
        <v>42.46</v>
      </c>
      <c r="V173" s="102">
        <f t="shared" si="14"/>
        <v>1.6519032798659294E-2</v>
      </c>
      <c r="X173" s="97">
        <v>45905</v>
      </c>
      <c r="Y173" s="175">
        <v>1073.0999999999999</v>
      </c>
      <c r="Z173" s="102">
        <f>Y173/Y172-1</f>
        <v>6.5274151436023331E-4</v>
      </c>
      <c r="AA173" s="178"/>
      <c r="AB173" s="97">
        <v>45905</v>
      </c>
      <c r="AC173" s="175">
        <v>167.68</v>
      </c>
      <c r="AD173" s="102">
        <f t="shared" si="13"/>
        <v>5.2155146573946709E-3</v>
      </c>
    </row>
    <row r="174" spans="2:30" x14ac:dyDescent="0.3">
      <c r="B174" s="52" t="s">
        <v>893</v>
      </c>
      <c r="C174" s="52" t="s">
        <v>894</v>
      </c>
      <c r="D174" s="97">
        <v>45908</v>
      </c>
      <c r="E174" s="175">
        <v>131.44999999999999</v>
      </c>
      <c r="F174" s="102">
        <f t="shared" si="10"/>
        <v>1.6942596317499614E-2</v>
      </c>
      <c r="H174" s="97">
        <v>45908</v>
      </c>
      <c r="I174" s="175">
        <v>24773.15</v>
      </c>
      <c r="J174" s="102">
        <f t="shared" si="11"/>
        <v>1.2994624307829383E-3</v>
      </c>
      <c r="P174" s="97">
        <v>45908</v>
      </c>
      <c r="Q174" s="175">
        <v>1041.55</v>
      </c>
      <c r="R174" s="102">
        <f t="shared" si="12"/>
        <v>6.4743682659322843E-3</v>
      </c>
      <c r="T174" s="97">
        <v>45908</v>
      </c>
      <c r="U174" s="175">
        <v>43.35</v>
      </c>
      <c r="V174" s="102">
        <f t="shared" si="14"/>
        <v>2.0960904380593615E-2</v>
      </c>
      <c r="X174" s="97">
        <v>45908</v>
      </c>
      <c r="Y174" s="175">
        <v>1101.4000000000001</v>
      </c>
      <c r="Z174" s="102">
        <f>Y174/Y173-1</f>
        <v>2.6372192712701636E-2</v>
      </c>
      <c r="AA174" s="178"/>
      <c r="AB174" s="97">
        <v>45908</v>
      </c>
      <c r="AC174" s="175">
        <v>168.82</v>
      </c>
      <c r="AD174" s="102">
        <f t="shared" si="13"/>
        <v>6.7986641221373656E-3</v>
      </c>
    </row>
    <row r="175" spans="2:30" x14ac:dyDescent="0.3">
      <c r="B175" s="52" t="s">
        <v>893</v>
      </c>
      <c r="C175" s="52" t="s">
        <v>894</v>
      </c>
      <c r="D175" s="97">
        <v>45909</v>
      </c>
      <c r="E175" s="175">
        <v>129.44999999999999</v>
      </c>
      <c r="F175" s="102">
        <f t="shared" si="10"/>
        <v>-1.5214910612400101E-2</v>
      </c>
      <c r="H175" s="97">
        <v>45909</v>
      </c>
      <c r="I175" s="175">
        <v>24868.6</v>
      </c>
      <c r="J175" s="102">
        <f t="shared" si="11"/>
        <v>3.8529617751474898E-3</v>
      </c>
      <c r="P175" s="97">
        <v>45909</v>
      </c>
      <c r="Q175" s="175">
        <v>1034.0999999999999</v>
      </c>
      <c r="R175" s="102">
        <f t="shared" si="12"/>
        <v>-7.1528011137247383E-3</v>
      </c>
      <c r="T175" s="97">
        <v>45909</v>
      </c>
      <c r="U175" s="175">
        <v>43.44</v>
      </c>
      <c r="V175" s="102">
        <f t="shared" si="14"/>
        <v>2.0761245674738582E-3</v>
      </c>
      <c r="X175" s="97">
        <v>45909</v>
      </c>
      <c r="Y175" s="175">
        <v>1104.5</v>
      </c>
      <c r="Z175" s="102">
        <f>Y175/Y174-1</f>
        <v>2.8145996005084495E-3</v>
      </c>
      <c r="AA175" s="178"/>
      <c r="AB175" s="97">
        <v>45909</v>
      </c>
      <c r="AC175" s="175">
        <v>169.15</v>
      </c>
      <c r="AD175" s="102">
        <f t="shared" si="13"/>
        <v>1.9547446984955474E-3</v>
      </c>
    </row>
    <row r="176" spans="2:30" x14ac:dyDescent="0.3">
      <c r="B176" s="52" t="s">
        <v>893</v>
      </c>
      <c r="C176" s="52" t="s">
        <v>894</v>
      </c>
      <c r="D176" s="97">
        <v>45910</v>
      </c>
      <c r="E176" s="175">
        <v>129.72</v>
      </c>
      <c r="F176" s="102">
        <f t="shared" si="10"/>
        <v>2.0857473928157511E-3</v>
      </c>
      <c r="H176" s="97">
        <v>45910</v>
      </c>
      <c r="I176" s="175">
        <v>24973.1</v>
      </c>
      <c r="J176" s="102">
        <f t="shared" si="11"/>
        <v>4.2020861648826013E-3</v>
      </c>
      <c r="P176" s="97">
        <v>45910</v>
      </c>
      <c r="Q176" s="175">
        <v>1039.5999999999999</v>
      </c>
      <c r="R176" s="102">
        <f t="shared" si="12"/>
        <v>5.3186345614544273E-3</v>
      </c>
      <c r="T176" s="97">
        <v>45910</v>
      </c>
      <c r="U176" s="175">
        <v>45.02</v>
      </c>
      <c r="V176" s="102">
        <f t="shared" si="14"/>
        <v>3.6372007366482606E-2</v>
      </c>
      <c r="X176" s="97">
        <v>45910</v>
      </c>
      <c r="Y176" s="175">
        <v>1101.2</v>
      </c>
      <c r="Z176" s="102">
        <f>Y176/Y175-1</f>
        <v>-2.9877772747849418E-3</v>
      </c>
      <c r="AA176" s="178"/>
      <c r="AB176" s="97">
        <v>45910</v>
      </c>
      <c r="AC176" s="175">
        <v>169.43</v>
      </c>
      <c r="AD176" s="102">
        <f t="shared" si="13"/>
        <v>1.6553355010346937E-3</v>
      </c>
    </row>
    <row r="177" spans="2:30" x14ac:dyDescent="0.3">
      <c r="B177" s="52" t="s">
        <v>893</v>
      </c>
      <c r="C177" s="52" t="s">
        <v>894</v>
      </c>
      <c r="D177" s="97">
        <v>45911</v>
      </c>
      <c r="E177" s="175">
        <v>131.82</v>
      </c>
      <c r="F177" s="102">
        <f t="shared" si="10"/>
        <v>1.618871415356149E-2</v>
      </c>
      <c r="H177" s="97">
        <v>45911</v>
      </c>
      <c r="I177" s="175">
        <v>25005.5</v>
      </c>
      <c r="J177" s="102">
        <f t="shared" si="11"/>
        <v>1.2973959980939753E-3</v>
      </c>
      <c r="P177" s="97">
        <v>45911</v>
      </c>
      <c r="Q177" s="175">
        <v>1040.4000000000001</v>
      </c>
      <c r="R177" s="102">
        <f t="shared" si="12"/>
        <v>7.6952674105434937E-4</v>
      </c>
      <c r="T177" s="97">
        <v>45911</v>
      </c>
      <c r="U177" s="175">
        <v>45.63</v>
      </c>
      <c r="V177" s="102">
        <f t="shared" si="14"/>
        <v>1.3549533540648584E-2</v>
      </c>
      <c r="X177" s="97">
        <v>45911</v>
      </c>
      <c r="Y177" s="175">
        <v>1099</v>
      </c>
      <c r="Z177" s="102">
        <f>Y177/Y176-1</f>
        <v>-1.9978205593897957E-3</v>
      </c>
      <c r="AA177" s="178"/>
      <c r="AB177" s="97">
        <v>45911</v>
      </c>
      <c r="AC177" s="175">
        <v>169.41</v>
      </c>
      <c r="AD177" s="102">
        <f t="shared" si="13"/>
        <v>-1.1804284955441169E-4</v>
      </c>
    </row>
    <row r="178" spans="2:30" x14ac:dyDescent="0.3">
      <c r="B178" s="52" t="s">
        <v>893</v>
      </c>
      <c r="C178" s="52" t="s">
        <v>894</v>
      </c>
      <c r="D178" s="97">
        <v>45912</v>
      </c>
      <c r="E178" s="175">
        <v>132.26</v>
      </c>
      <c r="F178" s="102">
        <f t="shared" si="10"/>
        <v>3.3378849946896771E-3</v>
      </c>
      <c r="H178" s="97">
        <v>45912</v>
      </c>
      <c r="I178" s="175">
        <v>25114</v>
      </c>
      <c r="J178" s="102">
        <f t="shared" si="11"/>
        <v>4.3390454100098452E-3</v>
      </c>
      <c r="P178" s="97">
        <v>45912</v>
      </c>
      <c r="Q178" s="175">
        <v>1035.95</v>
      </c>
      <c r="R178" s="102">
        <f t="shared" si="12"/>
        <v>-4.2772010765090851E-3</v>
      </c>
      <c r="T178" s="97">
        <v>45912</v>
      </c>
      <c r="U178" s="175">
        <v>46.31</v>
      </c>
      <c r="V178" s="102">
        <f t="shared" si="14"/>
        <v>1.4902476440938006E-2</v>
      </c>
      <c r="X178" s="97">
        <v>45912</v>
      </c>
      <c r="Y178" s="175">
        <v>1099</v>
      </c>
      <c r="Z178" s="102">
        <f>Y178/Y177-1</f>
        <v>0</v>
      </c>
      <c r="AA178" s="178"/>
      <c r="AB178" s="97">
        <v>45912</v>
      </c>
      <c r="AC178" s="175">
        <v>169.78</v>
      </c>
      <c r="AD178" s="102">
        <f t="shared" si="13"/>
        <v>2.1840505283041711E-3</v>
      </c>
    </row>
    <row r="179" spans="2:30" x14ac:dyDescent="0.3">
      <c r="B179" s="52" t="s">
        <v>893</v>
      </c>
      <c r="C179" s="52" t="s">
        <v>894</v>
      </c>
      <c r="D179" s="97">
        <v>45915</v>
      </c>
      <c r="E179" s="175">
        <v>132.79</v>
      </c>
      <c r="F179" s="102">
        <f t="shared" si="10"/>
        <v>4.0072584303645353E-3</v>
      </c>
      <c r="H179" s="97">
        <v>45915</v>
      </c>
      <c r="I179" s="175">
        <v>25069.200000000001</v>
      </c>
      <c r="J179" s="102">
        <f t="shared" si="11"/>
        <v>-1.7838655729871533E-3</v>
      </c>
      <c r="P179" s="97">
        <v>45915</v>
      </c>
      <c r="Q179" s="175">
        <v>1046.3</v>
      </c>
      <c r="R179" s="102">
        <f t="shared" si="12"/>
        <v>9.990829673246715E-3</v>
      </c>
      <c r="T179" s="97">
        <v>45915</v>
      </c>
      <c r="U179" s="175">
        <v>46.2</v>
      </c>
      <c r="V179" s="102">
        <f t="shared" si="14"/>
        <v>-2.3752969121140222E-3</v>
      </c>
      <c r="X179" s="97">
        <v>45915</v>
      </c>
      <c r="Y179" s="175">
        <v>1100.9000000000001</v>
      </c>
      <c r="Z179" s="102">
        <f>Y179/Y178-1</f>
        <v>1.728844404003782E-3</v>
      </c>
      <c r="AA179" s="178"/>
      <c r="AB179" s="97">
        <v>45915</v>
      </c>
      <c r="AC179" s="175">
        <v>169.23</v>
      </c>
      <c r="AD179" s="102">
        <f t="shared" si="13"/>
        <v>-3.239486394157165E-3</v>
      </c>
    </row>
    <row r="180" spans="2:30" x14ac:dyDescent="0.3">
      <c r="B180" s="52" t="s">
        <v>893</v>
      </c>
      <c r="C180" s="52" t="s">
        <v>894</v>
      </c>
      <c r="D180" s="97">
        <v>45916</v>
      </c>
      <c r="E180" s="175">
        <v>132.94</v>
      </c>
      <c r="F180" s="102">
        <f t="shared" si="10"/>
        <v>1.1296031327661105E-3</v>
      </c>
      <c r="H180" s="97">
        <v>45916</v>
      </c>
      <c r="I180" s="175">
        <v>25239.1</v>
      </c>
      <c r="J180" s="102">
        <f t="shared" si="11"/>
        <v>6.7772405980246475E-3</v>
      </c>
      <c r="P180" s="97">
        <v>45916</v>
      </c>
      <c r="Q180" s="175">
        <v>1053.3499999999999</v>
      </c>
      <c r="R180" s="102">
        <f t="shared" si="12"/>
        <v>6.7380292459140456E-3</v>
      </c>
      <c r="T180" s="97">
        <v>45916</v>
      </c>
      <c r="U180" s="175">
        <v>45.83</v>
      </c>
      <c r="V180" s="102">
        <f t="shared" si="14"/>
        <v>-8.0086580086581316E-3</v>
      </c>
      <c r="X180" s="97">
        <v>45916</v>
      </c>
      <c r="Y180" s="175">
        <v>1115.2</v>
      </c>
      <c r="Z180" s="102">
        <f>Y180/Y179-1</f>
        <v>1.2989372331728477E-2</v>
      </c>
      <c r="AA180" s="178"/>
      <c r="AB180" s="97">
        <v>45916</v>
      </c>
      <c r="AC180" s="175">
        <v>172.02</v>
      </c>
      <c r="AD180" s="102">
        <f t="shared" si="13"/>
        <v>1.6486438574720985E-2</v>
      </c>
    </row>
    <row r="181" spans="2:30" x14ac:dyDescent="0.3">
      <c r="B181" s="52" t="s">
        <v>893</v>
      </c>
      <c r="C181" s="52" t="s">
        <v>894</v>
      </c>
      <c r="D181" s="97">
        <v>45917</v>
      </c>
      <c r="E181" s="175">
        <v>132.75</v>
      </c>
      <c r="F181" s="102">
        <f t="shared" si="10"/>
        <v>-1.4292161877538234E-3</v>
      </c>
      <c r="H181" s="97">
        <v>45917</v>
      </c>
      <c r="I181" s="175">
        <v>25330.25</v>
      </c>
      <c r="J181" s="102">
        <f t="shared" si="11"/>
        <v>3.6114599965926253E-3</v>
      </c>
      <c r="P181" s="97">
        <v>45917</v>
      </c>
      <c r="Q181" s="175">
        <v>1033.6500000000001</v>
      </c>
      <c r="R181" s="102">
        <f t="shared" si="12"/>
        <v>-1.870223572411811E-2</v>
      </c>
      <c r="T181" s="97">
        <v>45917</v>
      </c>
      <c r="U181" s="175">
        <v>45.33</v>
      </c>
      <c r="V181" s="102">
        <f t="shared" si="14"/>
        <v>-1.0909884355225885E-2</v>
      </c>
      <c r="X181" s="97">
        <v>45917</v>
      </c>
      <c r="Y181" s="175">
        <v>1111</v>
      </c>
      <c r="Z181" s="102">
        <f>Y181/Y180-1</f>
        <v>-3.7661406025825128E-3</v>
      </c>
      <c r="AA181" s="178"/>
      <c r="AB181" s="97">
        <v>45917</v>
      </c>
      <c r="AC181" s="175">
        <v>171.36</v>
      </c>
      <c r="AD181" s="102">
        <f t="shared" si="13"/>
        <v>-3.836763167073598E-3</v>
      </c>
    </row>
    <row r="182" spans="2:30" x14ac:dyDescent="0.3">
      <c r="B182" s="52" t="s">
        <v>893</v>
      </c>
      <c r="C182" s="52" t="s">
        <v>894</v>
      </c>
      <c r="D182" s="97">
        <v>45918</v>
      </c>
      <c r="E182" s="175">
        <v>133.18</v>
      </c>
      <c r="F182" s="102">
        <f t="shared" si="10"/>
        <v>3.2391713747645934E-3</v>
      </c>
      <c r="H182" s="97">
        <v>45918</v>
      </c>
      <c r="I182" s="175">
        <v>25423.599999999999</v>
      </c>
      <c r="J182" s="102">
        <f t="shared" si="11"/>
        <v>3.685316962919849E-3</v>
      </c>
      <c r="P182" s="97">
        <v>45918</v>
      </c>
      <c r="Q182" s="175">
        <v>1047.6500000000001</v>
      </c>
      <c r="R182" s="102">
        <f t="shared" si="12"/>
        <v>1.3544236443670421E-2</v>
      </c>
      <c r="T182" s="97">
        <v>45918</v>
      </c>
      <c r="U182" s="175">
        <v>45.17</v>
      </c>
      <c r="V182" s="102">
        <f t="shared" si="14"/>
        <v>-3.5296712993602153E-3</v>
      </c>
      <c r="X182" s="97">
        <v>45918</v>
      </c>
      <c r="Y182" s="175">
        <v>1121.0999999999999</v>
      </c>
      <c r="Z182" s="102">
        <f>Y182/Y181-1</f>
        <v>9.0909090909090384E-3</v>
      </c>
      <c r="AA182" s="178"/>
      <c r="AB182" s="97">
        <v>45918</v>
      </c>
      <c r="AC182" s="175">
        <v>172.03</v>
      </c>
      <c r="AD182" s="102">
        <f t="shared" si="13"/>
        <v>3.9098972922502195E-3</v>
      </c>
    </row>
    <row r="183" spans="2:30" x14ac:dyDescent="0.3">
      <c r="B183" s="52" t="s">
        <v>893</v>
      </c>
      <c r="C183" s="52" t="s">
        <v>894</v>
      </c>
      <c r="D183" s="97">
        <v>45919</v>
      </c>
      <c r="E183" s="175">
        <v>136.19999999999999</v>
      </c>
      <c r="F183" s="102">
        <f t="shared" si="10"/>
        <v>2.2676077489112378E-2</v>
      </c>
      <c r="H183" s="97">
        <v>45919</v>
      </c>
      <c r="I183" s="175">
        <v>25327.05</v>
      </c>
      <c r="J183" s="102">
        <f t="shared" si="11"/>
        <v>-3.7976525747730472E-3</v>
      </c>
      <c r="P183" s="97">
        <v>45919</v>
      </c>
      <c r="Q183" s="175">
        <v>1046</v>
      </c>
      <c r="R183" s="102">
        <f t="shared" si="12"/>
        <v>-1.5749534672839793E-3</v>
      </c>
      <c r="T183" s="97">
        <v>45919</v>
      </c>
      <c r="U183" s="175">
        <v>46.92</v>
      </c>
      <c r="V183" s="102">
        <f t="shared" si="14"/>
        <v>3.8742528226699102E-2</v>
      </c>
      <c r="X183" s="97">
        <v>45919</v>
      </c>
      <c r="Y183" s="175">
        <v>1122.8</v>
      </c>
      <c r="Z183" s="102">
        <f>Y183/Y182-1</f>
        <v>1.5163678530014657E-3</v>
      </c>
      <c r="AA183" s="178"/>
      <c r="AB183" s="97">
        <v>45919</v>
      </c>
      <c r="AC183" s="175">
        <v>171.48</v>
      </c>
      <c r="AD183" s="102">
        <f t="shared" si="13"/>
        <v>-3.1971167819566659E-3</v>
      </c>
    </row>
    <row r="184" spans="2:30" x14ac:dyDescent="0.3">
      <c r="B184" s="52" t="s">
        <v>893</v>
      </c>
      <c r="C184" s="52" t="s">
        <v>894</v>
      </c>
      <c r="D184" s="97">
        <v>45922</v>
      </c>
      <c r="E184" s="175">
        <v>135.49</v>
      </c>
      <c r="F184" s="102">
        <f t="shared" si="10"/>
        <v>-5.2129221732744035E-3</v>
      </c>
      <c r="H184" s="97">
        <v>45922</v>
      </c>
      <c r="I184" s="175">
        <v>25202.35</v>
      </c>
      <c r="J184" s="102">
        <f t="shared" si="11"/>
        <v>-4.9235896008418267E-3</v>
      </c>
      <c r="P184" s="97">
        <v>45922</v>
      </c>
      <c r="Q184" s="175">
        <v>1032.45</v>
      </c>
      <c r="R184" s="102">
        <f t="shared" si="12"/>
        <v>-1.2954110898661497E-2</v>
      </c>
      <c r="T184" s="97">
        <v>45922</v>
      </c>
      <c r="U184" s="175">
        <v>46.61</v>
      </c>
      <c r="V184" s="102">
        <f t="shared" si="14"/>
        <v>-6.6069906223359398E-3</v>
      </c>
      <c r="X184" s="97">
        <v>45922</v>
      </c>
      <c r="Y184" s="175">
        <v>1117</v>
      </c>
      <c r="Z184" s="102">
        <f>Y184/Y183-1</f>
        <v>-5.1656572853580052E-3</v>
      </c>
      <c r="AA184" s="178"/>
      <c r="AB184" s="97">
        <v>45922</v>
      </c>
      <c r="AC184" s="175">
        <v>171.39</v>
      </c>
      <c r="AD184" s="102">
        <f t="shared" si="13"/>
        <v>-5.2484254723583756E-4</v>
      </c>
    </row>
    <row r="185" spans="2:30" x14ac:dyDescent="0.3">
      <c r="B185" s="52" t="s">
        <v>893</v>
      </c>
      <c r="C185" s="52" t="s">
        <v>894</v>
      </c>
      <c r="D185" s="97">
        <v>45923</v>
      </c>
      <c r="E185" s="175">
        <v>137.30000000000001</v>
      </c>
      <c r="F185" s="102">
        <f t="shared" si="10"/>
        <v>1.3358919477452158E-2</v>
      </c>
      <c r="H185" s="97">
        <v>45923</v>
      </c>
      <c r="I185" s="175">
        <v>25169.5</v>
      </c>
      <c r="J185" s="102">
        <f t="shared" si="11"/>
        <v>-1.3034498766979485E-3</v>
      </c>
      <c r="P185" s="97">
        <v>45923</v>
      </c>
      <c r="Q185" s="175">
        <v>1062.7</v>
      </c>
      <c r="R185" s="102">
        <f t="shared" si="12"/>
        <v>2.9299239672623267E-2</v>
      </c>
      <c r="T185" s="97">
        <v>45923</v>
      </c>
      <c r="U185" s="175">
        <v>47.1</v>
      </c>
      <c r="V185" s="102">
        <f t="shared" si="14"/>
        <v>1.0512765500965582E-2</v>
      </c>
      <c r="X185" s="97">
        <v>45923</v>
      </c>
      <c r="Y185" s="175">
        <v>1138.4000000000001</v>
      </c>
      <c r="Z185" s="102">
        <f>Y185/Y184-1</f>
        <v>1.9158460161146085E-2</v>
      </c>
      <c r="AA185" s="178"/>
      <c r="AB185" s="97">
        <v>45923</v>
      </c>
      <c r="AC185" s="175">
        <v>173.29</v>
      </c>
      <c r="AD185" s="102">
        <f t="shared" si="13"/>
        <v>1.1085827644553348E-2</v>
      </c>
    </row>
    <row r="186" spans="2:30" x14ac:dyDescent="0.3">
      <c r="B186" s="52" t="s">
        <v>893</v>
      </c>
      <c r="C186" s="52" t="s">
        <v>894</v>
      </c>
      <c r="D186" s="97">
        <v>45924</v>
      </c>
      <c r="E186" s="175">
        <v>136.34</v>
      </c>
      <c r="F186" s="102">
        <f t="shared" si="10"/>
        <v>-6.9919883466861288E-3</v>
      </c>
      <c r="H186" s="97">
        <v>45924</v>
      </c>
      <c r="I186" s="175">
        <v>25056.9</v>
      </c>
      <c r="J186" s="102">
        <f t="shared" si="11"/>
        <v>-4.4736685273842891E-3</v>
      </c>
      <c r="P186" s="97">
        <v>45924</v>
      </c>
      <c r="Q186" s="175">
        <v>1052.6500000000001</v>
      </c>
      <c r="R186" s="102">
        <f t="shared" si="12"/>
        <v>-9.4570433800695852E-3</v>
      </c>
      <c r="T186" s="97">
        <v>45924</v>
      </c>
      <c r="U186" s="175">
        <v>46.41</v>
      </c>
      <c r="V186" s="102">
        <f t="shared" si="14"/>
        <v>-1.4649681528662528E-2</v>
      </c>
      <c r="X186" s="97">
        <v>45924</v>
      </c>
      <c r="Y186" s="175">
        <v>1149.0999999999999</v>
      </c>
      <c r="Z186" s="102">
        <f>Y186/Y185-1</f>
        <v>9.3991567111733065E-3</v>
      </c>
      <c r="AA186" s="178"/>
      <c r="AB186" s="97">
        <v>45924</v>
      </c>
      <c r="AC186" s="175">
        <v>172.66</v>
      </c>
      <c r="AD186" s="102">
        <f t="shared" si="13"/>
        <v>-3.635524265681811E-3</v>
      </c>
    </row>
    <row r="187" spans="2:30" x14ac:dyDescent="0.3">
      <c r="B187" s="52" t="s">
        <v>893</v>
      </c>
      <c r="C187" s="52" t="s">
        <v>894</v>
      </c>
      <c r="D187" s="97">
        <v>45925</v>
      </c>
      <c r="E187" s="175">
        <v>136.52000000000001</v>
      </c>
      <c r="F187" s="102">
        <f t="shared" si="10"/>
        <v>1.3202288396656492E-3</v>
      </c>
      <c r="H187" s="97">
        <v>45925</v>
      </c>
      <c r="I187" s="175">
        <v>24890.85</v>
      </c>
      <c r="J187" s="102">
        <f t="shared" si="11"/>
        <v>-6.6269171365972435E-3</v>
      </c>
      <c r="P187" s="97">
        <v>45925</v>
      </c>
      <c r="Q187" s="175">
        <v>1051.7</v>
      </c>
      <c r="R187" s="102">
        <f t="shared" si="12"/>
        <v>-9.0248420652638828E-4</v>
      </c>
      <c r="T187" s="97">
        <v>45925</v>
      </c>
      <c r="U187" s="175">
        <v>46.46</v>
      </c>
      <c r="V187" s="102">
        <f t="shared" si="14"/>
        <v>1.0773540185304853E-3</v>
      </c>
      <c r="X187" s="97">
        <v>45925</v>
      </c>
      <c r="Y187" s="175">
        <v>1148.5</v>
      </c>
      <c r="Z187" s="102">
        <f>Y187/Y186-1</f>
        <v>-5.2214776781822625E-4</v>
      </c>
      <c r="AA187" s="178"/>
      <c r="AB187" s="97">
        <v>45925</v>
      </c>
      <c r="AC187" s="175">
        <v>172.38</v>
      </c>
      <c r="AD187" s="102">
        <f t="shared" si="13"/>
        <v>-1.6216842349126015E-3</v>
      </c>
    </row>
    <row r="188" spans="2:30" x14ac:dyDescent="0.3">
      <c r="B188" s="52" t="s">
        <v>893</v>
      </c>
      <c r="C188" s="52" t="s">
        <v>894</v>
      </c>
      <c r="D188" s="97">
        <v>45926</v>
      </c>
      <c r="E188" s="175">
        <v>131.02000000000001</v>
      </c>
      <c r="F188" s="102">
        <f t="shared" si="10"/>
        <v>-4.0287137415763286E-2</v>
      </c>
      <c r="H188" s="97">
        <v>45926</v>
      </c>
      <c r="I188" s="175">
        <v>24654.7</v>
      </c>
      <c r="J188" s="102">
        <f t="shared" si="11"/>
        <v>-9.4874220848222279E-3</v>
      </c>
      <c r="P188" s="97">
        <v>45926</v>
      </c>
      <c r="Q188" s="175">
        <v>1029.5</v>
      </c>
      <c r="R188" s="102">
        <f t="shared" si="12"/>
        <v>-2.1108681182846811E-2</v>
      </c>
      <c r="T188" s="97">
        <v>45926</v>
      </c>
      <c r="U188" s="175">
        <v>44.86</v>
      </c>
      <c r="V188" s="102">
        <f t="shared" si="14"/>
        <v>-3.443822643133887E-2</v>
      </c>
      <c r="X188" s="97">
        <v>45926</v>
      </c>
      <c r="Y188" s="175">
        <v>1130.8</v>
      </c>
      <c r="Z188" s="102">
        <f>Y188/Y187-1</f>
        <v>-1.5411406181976561E-2</v>
      </c>
      <c r="AA188" s="178"/>
      <c r="AB188" s="97">
        <v>45926</v>
      </c>
      <c r="AC188" s="175">
        <v>167.4</v>
      </c>
      <c r="AD188" s="102">
        <f t="shared" si="13"/>
        <v>-2.8889662373825176E-2</v>
      </c>
    </row>
    <row r="189" spans="2:30" x14ac:dyDescent="0.3">
      <c r="B189" s="52" t="s">
        <v>893</v>
      </c>
      <c r="C189" s="52" t="s">
        <v>894</v>
      </c>
      <c r="D189" s="97">
        <v>45929</v>
      </c>
      <c r="E189" s="175">
        <v>131.71</v>
      </c>
      <c r="F189" s="102">
        <f t="shared" si="10"/>
        <v>5.2663715463288074E-3</v>
      </c>
      <c r="H189" s="97">
        <v>45929</v>
      </c>
      <c r="I189" s="175">
        <v>24634.9</v>
      </c>
      <c r="J189" s="102">
        <f t="shared" si="11"/>
        <v>-8.0309231099950917E-4</v>
      </c>
      <c r="P189" s="97">
        <v>45929</v>
      </c>
      <c r="Q189" s="175">
        <v>1043.3499999999999</v>
      </c>
      <c r="R189" s="102">
        <f t="shared" si="12"/>
        <v>1.3453132588635119E-2</v>
      </c>
      <c r="T189" s="97">
        <v>45929</v>
      </c>
      <c r="U189" s="175">
        <v>44.53</v>
      </c>
      <c r="V189" s="102">
        <f t="shared" si="14"/>
        <v>-7.356219349086035E-3</v>
      </c>
      <c r="X189" s="97">
        <v>45929</v>
      </c>
      <c r="Y189" s="175">
        <v>1122.2</v>
      </c>
      <c r="Z189" s="102">
        <f>Y189/Y188-1</f>
        <v>-7.6052352316943184E-3</v>
      </c>
      <c r="AA189" s="178"/>
      <c r="AB189" s="97">
        <v>45929</v>
      </c>
      <c r="AC189" s="175">
        <v>168.98</v>
      </c>
      <c r="AD189" s="102">
        <f t="shared" si="13"/>
        <v>9.4384707287931136E-3</v>
      </c>
    </row>
    <row r="190" spans="2:30" x14ac:dyDescent="0.3">
      <c r="B190" s="52" t="s">
        <v>893</v>
      </c>
      <c r="C190" s="52" t="s">
        <v>894</v>
      </c>
      <c r="D190" s="97">
        <v>45930</v>
      </c>
      <c r="E190" s="175">
        <v>134.47999999999999</v>
      </c>
      <c r="F190" s="102">
        <f t="shared" si="10"/>
        <v>2.1031053071141059E-2</v>
      </c>
      <c r="H190" s="97">
        <v>45930</v>
      </c>
      <c r="I190" s="175">
        <v>24611.1</v>
      </c>
      <c r="J190" s="102">
        <f t="shared" si="11"/>
        <v>-9.6610905666361102E-4</v>
      </c>
      <c r="P190" s="97">
        <v>45930</v>
      </c>
      <c r="Q190" s="175">
        <v>1063.75</v>
      </c>
      <c r="R190" s="102">
        <f t="shared" si="12"/>
        <v>1.9552403316241085E-2</v>
      </c>
      <c r="T190" s="97">
        <v>45930</v>
      </c>
      <c r="U190" s="175">
        <v>44.86</v>
      </c>
      <c r="V190" s="102">
        <f t="shared" si="14"/>
        <v>7.4107343364024914E-3</v>
      </c>
      <c r="X190" s="97">
        <v>45930</v>
      </c>
      <c r="Y190" s="175">
        <v>1142.7</v>
      </c>
      <c r="Z190" s="102">
        <f>Y190/Y189-1</f>
        <v>1.8267688469078669E-2</v>
      </c>
      <c r="AA190" s="178"/>
      <c r="AB190" s="97">
        <v>45930</v>
      </c>
      <c r="AC190" s="175">
        <v>168.77</v>
      </c>
      <c r="AD190" s="102">
        <f t="shared" si="13"/>
        <v>-1.2427506213752437E-3</v>
      </c>
    </row>
    <row r="191" spans="2:30" x14ac:dyDescent="0.3">
      <c r="B191" s="52" t="s">
        <v>893</v>
      </c>
      <c r="C191" s="52" t="s">
        <v>894</v>
      </c>
      <c r="D191" s="97">
        <v>45931</v>
      </c>
      <c r="E191" s="175">
        <v>134.91999999999999</v>
      </c>
      <c r="F191" s="102">
        <f t="shared" si="10"/>
        <v>3.2718619869125387E-3</v>
      </c>
      <c r="H191" s="97">
        <v>45931</v>
      </c>
      <c r="I191" s="175">
        <v>24836.3</v>
      </c>
      <c r="J191" s="102">
        <f t="shared" si="11"/>
        <v>9.1503427315318131E-3</v>
      </c>
      <c r="P191" s="97">
        <v>45931</v>
      </c>
      <c r="Q191" s="175">
        <v>1065</v>
      </c>
      <c r="R191" s="102">
        <f t="shared" si="12"/>
        <v>1.175088131609936E-3</v>
      </c>
      <c r="T191" s="97">
        <v>45931</v>
      </c>
      <c r="U191" s="175">
        <v>47.32</v>
      </c>
      <c r="V191" s="102">
        <f t="shared" si="14"/>
        <v>5.4837271511368746E-2</v>
      </c>
      <c r="X191" s="97">
        <v>45931</v>
      </c>
      <c r="Y191" s="175">
        <v>1146.0999999999999</v>
      </c>
      <c r="Z191" s="102">
        <f>Y191/Y190-1</f>
        <v>2.9754091187537135E-3</v>
      </c>
      <c r="AA191" s="178"/>
      <c r="AB191" s="97">
        <v>45931</v>
      </c>
      <c r="AC191" s="175">
        <v>167.51</v>
      </c>
      <c r="AD191" s="102">
        <f t="shared" si="13"/>
        <v>-7.4657818332642956E-3</v>
      </c>
    </row>
    <row r="192" spans="2:30" x14ac:dyDescent="0.3">
      <c r="B192" s="52" t="s">
        <v>893</v>
      </c>
      <c r="C192" s="52" t="s">
        <v>894</v>
      </c>
      <c r="D192" s="97">
        <v>45933</v>
      </c>
      <c r="E192" s="175">
        <v>134.96</v>
      </c>
      <c r="F192" s="102">
        <f t="shared" si="10"/>
        <v>2.9647198339777248E-4</v>
      </c>
      <c r="H192" s="97">
        <v>45933</v>
      </c>
      <c r="I192" s="175">
        <v>24894.25</v>
      </c>
      <c r="J192" s="102">
        <f t="shared" si="11"/>
        <v>2.3332783063501061E-3</v>
      </c>
      <c r="P192" s="97">
        <v>45933</v>
      </c>
      <c r="Q192" s="175">
        <v>1076.5</v>
      </c>
      <c r="R192" s="102">
        <f t="shared" si="12"/>
        <v>1.0798122065727611E-2</v>
      </c>
      <c r="T192" s="97">
        <v>45933</v>
      </c>
      <c r="U192" s="175">
        <v>47.2</v>
      </c>
      <c r="V192" s="102">
        <f t="shared" si="14"/>
        <v>-2.5359256128486551E-3</v>
      </c>
      <c r="X192" s="97">
        <v>45933</v>
      </c>
      <c r="Y192" s="175">
        <v>1161.7</v>
      </c>
      <c r="Z192" s="102">
        <f>Y192/Y191-1</f>
        <v>1.3611377715731621E-2</v>
      </c>
      <c r="AA192" s="178"/>
      <c r="AB192" s="97">
        <v>45933</v>
      </c>
      <c r="AC192" s="175">
        <v>173.21</v>
      </c>
      <c r="AD192" s="102">
        <f t="shared" si="13"/>
        <v>3.4027819234672574E-2</v>
      </c>
    </row>
    <row r="193" spans="2:30" x14ac:dyDescent="0.3">
      <c r="B193" s="52" t="s">
        <v>893</v>
      </c>
      <c r="C193" s="52" t="s">
        <v>894</v>
      </c>
      <c r="D193" s="97">
        <v>45936</v>
      </c>
      <c r="E193" s="175">
        <v>132.62</v>
      </c>
      <c r="F193" s="102">
        <f t="shared" si="10"/>
        <v>-1.7338470657972782E-2</v>
      </c>
      <c r="H193" s="97">
        <v>45936</v>
      </c>
      <c r="I193" s="175">
        <v>25077.65</v>
      </c>
      <c r="J193" s="102">
        <f t="shared" si="11"/>
        <v>7.3671630999125881E-3</v>
      </c>
      <c r="P193" s="97">
        <v>45936</v>
      </c>
      <c r="Q193" s="175">
        <v>1055.9000000000001</v>
      </c>
      <c r="R193" s="102">
        <f t="shared" si="12"/>
        <v>-1.9136089177891225E-2</v>
      </c>
      <c r="T193" s="97">
        <v>45936</v>
      </c>
      <c r="U193" s="175">
        <v>45.69</v>
      </c>
      <c r="V193" s="102">
        <f t="shared" si="14"/>
        <v>-3.1991525423728961E-2</v>
      </c>
      <c r="X193" s="97">
        <v>45936</v>
      </c>
      <c r="Y193" s="175">
        <v>1159.9000000000001</v>
      </c>
      <c r="Z193" s="102">
        <f>Y193/Y192-1</f>
        <v>-1.5494533872771887E-3</v>
      </c>
      <c r="AA193" s="178"/>
      <c r="AB193" s="97">
        <v>45936</v>
      </c>
      <c r="AC193" s="175">
        <v>170.06</v>
      </c>
      <c r="AD193" s="102">
        <f t="shared" si="13"/>
        <v>-1.8186016973615882E-2</v>
      </c>
    </row>
    <row r="194" spans="2:30" x14ac:dyDescent="0.3">
      <c r="B194" s="52" t="s">
        <v>893</v>
      </c>
      <c r="C194" s="52" t="s">
        <v>894</v>
      </c>
      <c r="D194" s="97">
        <v>45937</v>
      </c>
      <c r="E194" s="175">
        <v>132.88</v>
      </c>
      <c r="F194" s="102">
        <f t="shared" si="10"/>
        <v>1.9604886140853761E-3</v>
      </c>
      <c r="H194" s="97">
        <v>45937</v>
      </c>
      <c r="I194" s="175">
        <v>25108.3</v>
      </c>
      <c r="J194" s="102">
        <f t="shared" si="11"/>
        <v>1.222203834888802E-3</v>
      </c>
      <c r="P194" s="97">
        <v>45937</v>
      </c>
      <c r="Q194" s="175">
        <v>1033.7</v>
      </c>
      <c r="R194" s="102">
        <f t="shared" si="12"/>
        <v>-2.1024718249834318E-2</v>
      </c>
      <c r="T194" s="97">
        <v>45937</v>
      </c>
      <c r="U194" s="175">
        <v>45.31</v>
      </c>
      <c r="V194" s="102">
        <f t="shared" si="14"/>
        <v>-8.3169183628801768E-3</v>
      </c>
      <c r="X194" s="97">
        <v>45937</v>
      </c>
      <c r="Y194" s="175">
        <v>1156.8</v>
      </c>
      <c r="Z194" s="102">
        <f>Y194/Y193-1</f>
        <v>-2.6726441934650236E-3</v>
      </c>
      <c r="AA194" s="178"/>
      <c r="AB194" s="97">
        <v>45937</v>
      </c>
      <c r="AC194" s="175">
        <v>171.43</v>
      </c>
      <c r="AD194" s="102">
        <f t="shared" si="13"/>
        <v>8.055980242267502E-3</v>
      </c>
    </row>
    <row r="195" spans="2:30" x14ac:dyDescent="0.3">
      <c r="B195" s="52" t="s">
        <v>893</v>
      </c>
      <c r="C195" s="52" t="s">
        <v>894</v>
      </c>
      <c r="D195" s="97">
        <v>45938</v>
      </c>
      <c r="E195" s="175">
        <v>131.72</v>
      </c>
      <c r="F195" s="102">
        <f t="shared" si="10"/>
        <v>-8.729680915111393E-3</v>
      </c>
      <c r="H195" s="97">
        <v>45938</v>
      </c>
      <c r="I195" s="175">
        <v>25046.15</v>
      </c>
      <c r="J195" s="102">
        <f t="shared" si="11"/>
        <v>-2.4752770996043783E-3</v>
      </c>
      <c r="P195" s="97">
        <v>45938</v>
      </c>
      <c r="Q195" s="175">
        <v>1019.2</v>
      </c>
      <c r="R195" s="102">
        <f t="shared" si="12"/>
        <v>-1.4027280642352702E-2</v>
      </c>
      <c r="T195" s="97">
        <v>45938</v>
      </c>
      <c r="U195" s="175">
        <v>44.93</v>
      </c>
      <c r="V195" s="102">
        <f t="shared" si="14"/>
        <v>-8.3866696093578552E-3</v>
      </c>
      <c r="X195" s="97">
        <v>45938</v>
      </c>
      <c r="Y195" s="175">
        <v>1145.2</v>
      </c>
      <c r="Z195" s="102">
        <f>Y195/Y194-1</f>
        <v>-1.0027662517289038E-2</v>
      </c>
      <c r="AA195" s="178"/>
      <c r="AB195" s="97">
        <v>45938</v>
      </c>
      <c r="AC195" s="175">
        <v>171.94</v>
      </c>
      <c r="AD195" s="102">
        <f t="shared" si="13"/>
        <v>2.9749752085399539E-3</v>
      </c>
    </row>
    <row r="196" spans="2:30" x14ac:dyDescent="0.3">
      <c r="B196" s="52" t="s">
        <v>893</v>
      </c>
      <c r="C196" s="52" t="s">
        <v>894</v>
      </c>
      <c r="D196" s="97">
        <v>45939</v>
      </c>
      <c r="E196" s="175">
        <v>136.46</v>
      </c>
      <c r="F196" s="102">
        <f t="shared" si="10"/>
        <v>3.5985423625873203E-2</v>
      </c>
      <c r="H196" s="97">
        <v>45939</v>
      </c>
      <c r="I196" s="175">
        <v>25181.8</v>
      </c>
      <c r="J196" s="102">
        <f t="shared" si="11"/>
        <v>5.4160020601967673E-3</v>
      </c>
      <c r="P196" s="97">
        <v>45939</v>
      </c>
      <c r="Q196" s="175">
        <v>1040.3</v>
      </c>
      <c r="R196" s="102">
        <f t="shared" si="12"/>
        <v>2.0702511773940335E-2</v>
      </c>
      <c r="T196" s="97">
        <v>45939</v>
      </c>
      <c r="U196" s="175">
        <v>46.34</v>
      </c>
      <c r="V196" s="102">
        <f t="shared" si="14"/>
        <v>3.1382150011128429E-2</v>
      </c>
      <c r="X196" s="97">
        <v>45939</v>
      </c>
      <c r="Y196" s="175">
        <v>1175.2</v>
      </c>
      <c r="Z196" s="102">
        <f>Y196/Y195-1</f>
        <v>2.6196297589940576E-2</v>
      </c>
      <c r="AA196" s="178"/>
      <c r="AB196" s="97">
        <v>45939</v>
      </c>
      <c r="AC196" s="175">
        <v>176.42</v>
      </c>
      <c r="AD196" s="102">
        <f t="shared" si="13"/>
        <v>2.6055600790973577E-2</v>
      </c>
    </row>
    <row r="197" spans="2:30" x14ac:dyDescent="0.3">
      <c r="B197" s="52" t="s">
        <v>893</v>
      </c>
      <c r="C197" s="52" t="s">
        <v>894</v>
      </c>
      <c r="D197" s="97">
        <v>45940</v>
      </c>
      <c r="E197" s="175">
        <v>132.16999999999999</v>
      </c>
      <c r="F197" s="102">
        <f t="shared" si="10"/>
        <v>-3.1437783965997501E-2</v>
      </c>
      <c r="H197" s="97">
        <v>45940</v>
      </c>
      <c r="I197" s="175">
        <v>25285.35</v>
      </c>
      <c r="J197" s="102">
        <f t="shared" si="11"/>
        <v>4.1120968318388851E-3</v>
      </c>
      <c r="P197" s="97">
        <v>45940</v>
      </c>
      <c r="Q197" s="175">
        <v>1015.2</v>
      </c>
      <c r="R197" s="102">
        <f t="shared" si="12"/>
        <v>-2.412765548399487E-2</v>
      </c>
      <c r="T197" s="97">
        <v>45940</v>
      </c>
      <c r="U197" s="175">
        <v>44.93</v>
      </c>
      <c r="V197" s="102">
        <f t="shared" si="14"/>
        <v>-3.0427276650841661E-2</v>
      </c>
      <c r="X197" s="97">
        <v>45940</v>
      </c>
      <c r="Y197" s="175">
        <v>1167.8</v>
      </c>
      <c r="Z197" s="102">
        <f>Y197/Y196-1</f>
        <v>-6.2968005445882547E-3</v>
      </c>
      <c r="AA197" s="178"/>
      <c r="AB197" s="97">
        <v>45940</v>
      </c>
      <c r="AC197" s="175">
        <v>173.86</v>
      </c>
      <c r="AD197" s="102">
        <f t="shared" si="13"/>
        <v>-1.4510826436911817E-2</v>
      </c>
    </row>
    <row r="198" spans="2:30" x14ac:dyDescent="0.3">
      <c r="B198" s="52" t="s">
        <v>893</v>
      </c>
      <c r="C198" s="52" t="s">
        <v>894</v>
      </c>
      <c r="D198" s="97">
        <v>45943</v>
      </c>
      <c r="E198" s="175">
        <v>132.51</v>
      </c>
      <c r="F198" s="102">
        <f t="shared" ref="F198:F252" si="15">E198/E197-1</f>
        <v>2.5724445789514494E-3</v>
      </c>
      <c r="H198" s="97">
        <v>45943</v>
      </c>
      <c r="I198" s="175">
        <v>25227.35</v>
      </c>
      <c r="J198" s="102">
        <f t="shared" ref="J198:J252" si="16">I198/I197-1</f>
        <v>-2.2938183572701609E-3</v>
      </c>
      <c r="P198" s="97">
        <v>45943</v>
      </c>
      <c r="Q198" s="175">
        <v>1007.6</v>
      </c>
      <c r="R198" s="102">
        <f t="shared" ref="R198:R252" si="17">Q198/Q197-1</f>
        <v>-7.4862096138692547E-3</v>
      </c>
      <c r="T198" s="97">
        <v>45943</v>
      </c>
      <c r="U198" s="175">
        <v>44.21</v>
      </c>
      <c r="V198" s="102">
        <f t="shared" si="14"/>
        <v>-1.6024927665257094E-2</v>
      </c>
      <c r="X198" s="97">
        <v>45943</v>
      </c>
      <c r="Y198" s="175">
        <v>1161.4000000000001</v>
      </c>
      <c r="Z198" s="102">
        <f>Y198/Y197-1</f>
        <v>-5.4803904778214507E-3</v>
      </c>
      <c r="AA198" s="178"/>
      <c r="AB198" s="97">
        <v>45943</v>
      </c>
      <c r="AC198" s="175">
        <v>173.03</v>
      </c>
      <c r="AD198" s="102">
        <f t="shared" ref="AD198:AD252" si="18">AC198/AC197-1</f>
        <v>-4.7739560565973616E-3</v>
      </c>
    </row>
    <row r="199" spans="2:30" x14ac:dyDescent="0.3">
      <c r="B199" s="52" t="s">
        <v>893</v>
      </c>
      <c r="C199" s="52" t="s">
        <v>894</v>
      </c>
      <c r="D199" s="97">
        <v>45944</v>
      </c>
      <c r="E199" s="175">
        <v>128.77000000000001</v>
      </c>
      <c r="F199" s="102">
        <f t="shared" si="15"/>
        <v>-2.822428495962559E-2</v>
      </c>
      <c r="H199" s="97">
        <v>45944</v>
      </c>
      <c r="I199" s="175">
        <v>25145.5</v>
      </c>
      <c r="J199" s="102">
        <f t="shared" si="16"/>
        <v>-3.2444945664129587E-3</v>
      </c>
      <c r="P199" s="97">
        <v>45944</v>
      </c>
      <c r="Q199" s="175">
        <v>996</v>
      </c>
      <c r="R199" s="102">
        <f t="shared" si="17"/>
        <v>-1.1512504962286618E-2</v>
      </c>
      <c r="T199" s="97">
        <v>45944</v>
      </c>
      <c r="U199" s="175">
        <v>43.56</v>
      </c>
      <c r="V199" s="102">
        <f t="shared" ref="V199:V252" si="19">U199/U198-1</f>
        <v>-1.470255598280934E-2</v>
      </c>
      <c r="X199" s="97">
        <v>45944</v>
      </c>
      <c r="Y199" s="175">
        <v>1147.8</v>
      </c>
      <c r="Z199" s="102">
        <f>Y199/Y198-1</f>
        <v>-1.1710005166178816E-2</v>
      </c>
      <c r="AA199" s="178"/>
      <c r="AB199" s="97">
        <v>45944</v>
      </c>
      <c r="AC199" s="175">
        <v>170.51</v>
      </c>
      <c r="AD199" s="102">
        <f t="shared" si="18"/>
        <v>-1.4563948448246045E-2</v>
      </c>
    </row>
    <row r="200" spans="2:30" x14ac:dyDescent="0.3">
      <c r="B200" s="52" t="s">
        <v>893</v>
      </c>
      <c r="C200" s="52" t="s">
        <v>894</v>
      </c>
      <c r="D200" s="97">
        <v>45945</v>
      </c>
      <c r="E200" s="175">
        <v>130.29</v>
      </c>
      <c r="F200" s="102">
        <f t="shared" si="15"/>
        <v>1.1803991612953091E-2</v>
      </c>
      <c r="H200" s="97">
        <v>45945</v>
      </c>
      <c r="I200" s="175">
        <v>25323.55</v>
      </c>
      <c r="J200" s="102">
        <f t="shared" si="16"/>
        <v>7.0807898033444783E-3</v>
      </c>
      <c r="P200" s="97">
        <v>45945</v>
      </c>
      <c r="Q200" s="175">
        <v>1001.4</v>
      </c>
      <c r="R200" s="102">
        <f t="shared" si="17"/>
        <v>5.4216867469878416E-3</v>
      </c>
      <c r="T200" s="97">
        <v>45945</v>
      </c>
      <c r="U200" s="175">
        <v>43.79</v>
      </c>
      <c r="V200" s="102">
        <f t="shared" si="19"/>
        <v>5.2800734618916323E-3</v>
      </c>
      <c r="X200" s="97">
        <v>45945</v>
      </c>
      <c r="Y200" s="175">
        <v>1160.8</v>
      </c>
      <c r="Z200" s="102">
        <f>Y200/Y199-1</f>
        <v>1.1326014985189037E-2</v>
      </c>
      <c r="AA200" s="178"/>
      <c r="AB200" s="97">
        <v>45945</v>
      </c>
      <c r="AC200" s="175">
        <v>173.24</v>
      </c>
      <c r="AD200" s="102">
        <f t="shared" si="18"/>
        <v>1.6010791155943949E-2</v>
      </c>
    </row>
    <row r="201" spans="2:30" x14ac:dyDescent="0.3">
      <c r="B201" s="52" t="s">
        <v>893</v>
      </c>
      <c r="C201" s="52" t="s">
        <v>894</v>
      </c>
      <c r="D201" s="97">
        <v>45946</v>
      </c>
      <c r="E201" s="175">
        <v>131.38</v>
      </c>
      <c r="F201" s="102">
        <f t="shared" si="15"/>
        <v>8.3659528743571521E-3</v>
      </c>
      <c r="H201" s="97">
        <v>45946</v>
      </c>
      <c r="I201" s="175">
        <v>25585.3</v>
      </c>
      <c r="J201" s="102">
        <f t="shared" si="16"/>
        <v>1.0336228530360092E-2</v>
      </c>
      <c r="P201" s="97">
        <v>45946</v>
      </c>
      <c r="Q201" s="175">
        <v>1022.8</v>
      </c>
      <c r="R201" s="102">
        <f t="shared" si="17"/>
        <v>2.1370081885360381E-2</v>
      </c>
      <c r="T201" s="97">
        <v>45946</v>
      </c>
      <c r="U201" s="175">
        <v>43.65</v>
      </c>
      <c r="V201" s="102">
        <f t="shared" si="19"/>
        <v>-3.1970769582096992E-3</v>
      </c>
      <c r="X201" s="97">
        <v>45946</v>
      </c>
      <c r="Y201" s="175">
        <v>1172.0999999999999</v>
      </c>
      <c r="Z201" s="102">
        <f>Y201/Y200-1</f>
        <v>9.7346657477601628E-3</v>
      </c>
      <c r="AA201" s="178"/>
      <c r="AB201" s="97">
        <v>45946</v>
      </c>
      <c r="AC201" s="175">
        <v>174</v>
      </c>
      <c r="AD201" s="102">
        <f t="shared" si="18"/>
        <v>4.3869776033247376E-3</v>
      </c>
    </row>
    <row r="202" spans="2:30" x14ac:dyDescent="0.3">
      <c r="B202" s="52" t="s">
        <v>893</v>
      </c>
      <c r="C202" s="52" t="s">
        <v>894</v>
      </c>
      <c r="D202" s="97">
        <v>45947</v>
      </c>
      <c r="E202" s="175">
        <v>128.68</v>
      </c>
      <c r="F202" s="102">
        <f t="shared" si="15"/>
        <v>-2.0551073222712657E-2</v>
      </c>
      <c r="H202" s="97">
        <v>45947</v>
      </c>
      <c r="I202" s="175">
        <v>25709.85</v>
      </c>
      <c r="J202" s="102">
        <f t="shared" si="16"/>
        <v>4.8680296889229702E-3</v>
      </c>
      <c r="P202" s="97">
        <v>45947</v>
      </c>
      <c r="Q202" s="175">
        <v>1007.6</v>
      </c>
      <c r="R202" s="102">
        <f t="shared" si="17"/>
        <v>-1.4861165428236123E-2</v>
      </c>
      <c r="T202" s="97">
        <v>45947</v>
      </c>
      <c r="U202" s="175">
        <v>42.98</v>
      </c>
      <c r="V202" s="102">
        <f t="shared" si="19"/>
        <v>-1.5349369988545303E-2</v>
      </c>
      <c r="X202" s="97">
        <v>45947</v>
      </c>
      <c r="Y202" s="175">
        <v>1163.3</v>
      </c>
      <c r="Z202" s="102">
        <f>Y202/Y201-1</f>
        <v>-7.5078918181041843E-3</v>
      </c>
      <c r="AA202" s="178"/>
      <c r="AB202" s="97">
        <v>45947</v>
      </c>
      <c r="AC202" s="175">
        <v>172.22</v>
      </c>
      <c r="AD202" s="102">
        <f t="shared" si="18"/>
        <v>-1.0229885057471244E-2</v>
      </c>
    </row>
    <row r="203" spans="2:30" x14ac:dyDescent="0.3">
      <c r="B203" s="52" t="s">
        <v>893</v>
      </c>
      <c r="C203" s="52" t="s">
        <v>894</v>
      </c>
      <c r="D203" s="97">
        <v>45950</v>
      </c>
      <c r="E203" s="175">
        <v>129.84</v>
      </c>
      <c r="F203" s="102">
        <f t="shared" si="15"/>
        <v>9.0146098849859246E-3</v>
      </c>
      <c r="H203" s="97">
        <v>45950</v>
      </c>
      <c r="I203" s="175">
        <v>25843.15</v>
      </c>
      <c r="J203" s="102">
        <f t="shared" si="16"/>
        <v>5.1847832640019575E-3</v>
      </c>
      <c r="P203" s="97">
        <v>45950</v>
      </c>
      <c r="Q203" s="175">
        <v>1005.6</v>
      </c>
      <c r="R203" s="102">
        <f t="shared" si="17"/>
        <v>-1.9849146486701219E-3</v>
      </c>
      <c r="T203" s="97">
        <v>45950</v>
      </c>
      <c r="U203" s="175">
        <v>43.36</v>
      </c>
      <c r="V203" s="102">
        <f t="shared" si="19"/>
        <v>8.841321544904579E-3</v>
      </c>
      <c r="X203" s="97">
        <v>45950</v>
      </c>
      <c r="Y203" s="175">
        <v>1145.2</v>
      </c>
      <c r="Z203" s="102">
        <f>Y203/Y202-1</f>
        <v>-1.5559185076936211E-2</v>
      </c>
      <c r="AA203" s="178"/>
      <c r="AB203" s="97">
        <v>45950</v>
      </c>
      <c r="AC203" s="175">
        <v>171.95</v>
      </c>
      <c r="AD203" s="102">
        <f t="shared" si="18"/>
        <v>-1.5677621646731366E-3</v>
      </c>
    </row>
    <row r="204" spans="2:30" x14ac:dyDescent="0.3">
      <c r="B204" s="52" t="s">
        <v>893</v>
      </c>
      <c r="C204" s="52" t="s">
        <v>894</v>
      </c>
      <c r="D204" s="97">
        <v>45951</v>
      </c>
      <c r="E204" s="175">
        <v>129.94999999999999</v>
      </c>
      <c r="F204" s="102">
        <f t="shared" si="15"/>
        <v>8.4719654959930502E-4</v>
      </c>
      <c r="H204" s="97">
        <v>45951</v>
      </c>
      <c r="I204" s="175">
        <v>25868.6</v>
      </c>
      <c r="J204" s="102">
        <f t="shared" si="16"/>
        <v>9.8478707123539344E-4</v>
      </c>
      <c r="P204" s="97">
        <v>45951</v>
      </c>
      <c r="Q204" s="175">
        <v>1009.8</v>
      </c>
      <c r="R204" s="102">
        <f t="shared" si="17"/>
        <v>4.1766109785201788E-3</v>
      </c>
      <c r="T204" s="97">
        <v>45951</v>
      </c>
      <c r="U204" s="175">
        <v>44</v>
      </c>
      <c r="V204" s="102">
        <f t="shared" si="19"/>
        <v>1.4760147601476037E-2</v>
      </c>
      <c r="X204" s="97">
        <v>45951</v>
      </c>
      <c r="Y204" s="175">
        <v>1152.5</v>
      </c>
      <c r="Z204" s="102">
        <f>Y204/Y203-1</f>
        <v>6.3744324135521779E-3</v>
      </c>
      <c r="AA204" s="178"/>
      <c r="AB204" s="97">
        <v>45951</v>
      </c>
      <c r="AC204" s="175">
        <v>172.78</v>
      </c>
      <c r="AD204" s="102">
        <f t="shared" si="18"/>
        <v>4.8269845885433593E-3</v>
      </c>
    </row>
    <row r="205" spans="2:30" x14ac:dyDescent="0.3">
      <c r="B205" s="52" t="s">
        <v>893</v>
      </c>
      <c r="C205" s="52" t="s">
        <v>894</v>
      </c>
      <c r="D205" s="97">
        <v>45953</v>
      </c>
      <c r="E205" s="175">
        <v>129.34</v>
      </c>
      <c r="F205" s="102">
        <f t="shared" si="15"/>
        <v>-4.6941131204307762E-3</v>
      </c>
      <c r="H205" s="97">
        <v>45953</v>
      </c>
      <c r="I205" s="175">
        <v>25891.4</v>
      </c>
      <c r="J205" s="102">
        <f t="shared" si="16"/>
        <v>8.8137742282157205E-4</v>
      </c>
      <c r="P205" s="97">
        <v>45953</v>
      </c>
      <c r="Q205" s="175">
        <v>1009.1</v>
      </c>
      <c r="R205" s="102">
        <f t="shared" si="17"/>
        <v>-6.9320657555949072E-4</v>
      </c>
      <c r="T205" s="97">
        <v>45953</v>
      </c>
      <c r="U205" s="175">
        <v>43.95</v>
      </c>
      <c r="V205" s="102">
        <f t="shared" si="19"/>
        <v>-1.136363636363602E-3</v>
      </c>
      <c r="X205" s="97">
        <v>45953</v>
      </c>
      <c r="Y205" s="175">
        <v>1138.2</v>
      </c>
      <c r="Z205" s="102">
        <f>Y205/Y204-1</f>
        <v>-1.2407809110628998E-2</v>
      </c>
      <c r="AA205" s="178"/>
      <c r="AB205" s="97">
        <v>45953</v>
      </c>
      <c r="AC205" s="175">
        <v>174.16</v>
      </c>
      <c r="AD205" s="102">
        <f t="shared" si="18"/>
        <v>7.9870355365203594E-3</v>
      </c>
    </row>
    <row r="206" spans="2:30" x14ac:dyDescent="0.3">
      <c r="B206" s="52" t="s">
        <v>893</v>
      </c>
      <c r="C206" s="52" t="s">
        <v>894</v>
      </c>
      <c r="D206" s="97">
        <v>45954</v>
      </c>
      <c r="E206" s="175">
        <v>129.46</v>
      </c>
      <c r="F206" s="102">
        <f t="shared" si="15"/>
        <v>9.2778722746245101E-4</v>
      </c>
      <c r="H206" s="97">
        <v>45954</v>
      </c>
      <c r="I206" s="175">
        <v>25795.15</v>
      </c>
      <c r="J206" s="102">
        <f t="shared" si="16"/>
        <v>-3.7174505820465331E-3</v>
      </c>
      <c r="P206" s="97">
        <v>45954</v>
      </c>
      <c r="Q206" s="175">
        <v>1008.2</v>
      </c>
      <c r="R206" s="102">
        <f t="shared" si="17"/>
        <v>-8.9188385690219807E-4</v>
      </c>
      <c r="T206" s="97">
        <v>45954</v>
      </c>
      <c r="U206" s="175">
        <v>44.49</v>
      </c>
      <c r="V206" s="102">
        <f t="shared" si="19"/>
        <v>1.2286689419795271E-2</v>
      </c>
      <c r="X206" s="97">
        <v>45954</v>
      </c>
      <c r="Y206" s="175">
        <v>1141.4000000000001</v>
      </c>
      <c r="Z206" s="102">
        <f>Y206/Y205-1</f>
        <v>2.8114566859953616E-3</v>
      </c>
      <c r="AA206" s="178"/>
      <c r="AB206" s="97">
        <v>45954</v>
      </c>
      <c r="AC206" s="175">
        <v>174.44</v>
      </c>
      <c r="AD206" s="102">
        <f t="shared" si="18"/>
        <v>1.607717041800738E-3</v>
      </c>
    </row>
    <row r="207" spans="2:30" x14ac:dyDescent="0.3">
      <c r="B207" s="52" t="s">
        <v>893</v>
      </c>
      <c r="C207" s="52" t="s">
        <v>894</v>
      </c>
      <c r="D207" s="97">
        <v>45957</v>
      </c>
      <c r="E207" s="175">
        <v>129.9</v>
      </c>
      <c r="F207" s="102">
        <f t="shared" si="15"/>
        <v>3.3987331994438374E-3</v>
      </c>
      <c r="H207" s="97">
        <v>45957</v>
      </c>
      <c r="I207" s="175">
        <v>25966.05</v>
      </c>
      <c r="J207" s="102">
        <f t="shared" si="16"/>
        <v>6.6252764570082778E-3</v>
      </c>
      <c r="P207" s="97">
        <v>45957</v>
      </c>
      <c r="Q207" s="175">
        <v>1034.3</v>
      </c>
      <c r="R207" s="102">
        <f t="shared" si="17"/>
        <v>2.5887720690339178E-2</v>
      </c>
      <c r="T207" s="97">
        <v>45957</v>
      </c>
      <c r="U207" s="175">
        <v>45.61</v>
      </c>
      <c r="V207" s="102">
        <f t="shared" si="19"/>
        <v>2.5174196448640052E-2</v>
      </c>
      <c r="X207" s="97">
        <v>45957</v>
      </c>
      <c r="Y207" s="175">
        <v>1150.5999999999999</v>
      </c>
      <c r="Z207" s="102">
        <f>Y207/Y206-1</f>
        <v>8.0602768529873803E-3</v>
      </c>
      <c r="AA207" s="178"/>
      <c r="AB207" s="97">
        <v>45957</v>
      </c>
      <c r="AC207" s="175">
        <v>176.66</v>
      </c>
      <c r="AD207" s="102">
        <f t="shared" si="18"/>
        <v>1.2726438890162894E-2</v>
      </c>
    </row>
    <row r="208" spans="2:30" x14ac:dyDescent="0.3">
      <c r="B208" s="52" t="s">
        <v>893</v>
      </c>
      <c r="C208" s="52" t="s">
        <v>894</v>
      </c>
      <c r="D208" s="97">
        <v>45958</v>
      </c>
      <c r="E208" s="175">
        <v>132.16</v>
      </c>
      <c r="F208" s="102">
        <f t="shared" si="15"/>
        <v>1.7397998460354058E-2</v>
      </c>
      <c r="H208" s="97">
        <v>45958</v>
      </c>
      <c r="I208" s="175">
        <v>25936.2</v>
      </c>
      <c r="J208" s="102">
        <f t="shared" si="16"/>
        <v>-1.1495780066663741E-3</v>
      </c>
      <c r="P208" s="97">
        <v>45958</v>
      </c>
      <c r="Q208" s="175">
        <v>1073.5</v>
      </c>
      <c r="R208" s="102">
        <f t="shared" si="17"/>
        <v>3.7900029005124347E-2</v>
      </c>
      <c r="T208" s="97">
        <v>45958</v>
      </c>
      <c r="U208" s="175">
        <v>47.67</v>
      </c>
      <c r="V208" s="102">
        <f t="shared" si="19"/>
        <v>4.5165533874150565E-2</v>
      </c>
      <c r="X208" s="97">
        <v>45958</v>
      </c>
      <c r="Y208" s="175">
        <v>1184.2</v>
      </c>
      <c r="Z208" s="102">
        <f>Y208/Y207-1</f>
        <v>2.9202155397184182E-2</v>
      </c>
      <c r="AA208" s="178"/>
      <c r="AB208" s="97">
        <v>45958</v>
      </c>
      <c r="AC208" s="175">
        <v>181.81</v>
      </c>
      <c r="AD208" s="102">
        <f t="shared" si="18"/>
        <v>2.9152043473338551E-2</v>
      </c>
    </row>
    <row r="209" spans="2:30" x14ac:dyDescent="0.3">
      <c r="B209" s="52" t="s">
        <v>893</v>
      </c>
      <c r="C209" s="52" t="s">
        <v>894</v>
      </c>
      <c r="D209" s="97">
        <v>45959</v>
      </c>
      <c r="E209" s="175">
        <v>140.55000000000001</v>
      </c>
      <c r="F209" s="102">
        <f t="shared" si="15"/>
        <v>6.3483656174334158E-2</v>
      </c>
      <c r="H209" s="97">
        <v>45959</v>
      </c>
      <c r="I209" s="175">
        <v>26053.9</v>
      </c>
      <c r="J209" s="102">
        <f t="shared" si="16"/>
        <v>4.5380587749941359E-3</v>
      </c>
      <c r="P209" s="97">
        <v>45959</v>
      </c>
      <c r="Q209" s="175">
        <v>1070.5999999999999</v>
      </c>
      <c r="R209" s="102">
        <f t="shared" si="17"/>
        <v>-2.7014438751747916E-3</v>
      </c>
      <c r="T209" s="97">
        <v>45959</v>
      </c>
      <c r="U209" s="175">
        <v>45.07</v>
      </c>
      <c r="V209" s="102">
        <f t="shared" si="19"/>
        <v>-5.4541640444724204E-2</v>
      </c>
      <c r="X209" s="97">
        <v>45959</v>
      </c>
      <c r="Y209" s="175">
        <v>1207.9000000000001</v>
      </c>
      <c r="Z209" s="102">
        <f>Y209/Y208-1</f>
        <v>2.0013511231210979E-2</v>
      </c>
      <c r="AA209" s="178"/>
      <c r="AB209" s="97">
        <v>45959</v>
      </c>
      <c r="AC209" s="175">
        <v>185.19</v>
      </c>
      <c r="AD209" s="102">
        <f t="shared" si="18"/>
        <v>1.8590836587646375E-2</v>
      </c>
    </row>
    <row r="210" spans="2:30" x14ac:dyDescent="0.3">
      <c r="B210" s="52" t="s">
        <v>893</v>
      </c>
      <c r="C210" s="52" t="s">
        <v>894</v>
      </c>
      <c r="D210" s="97">
        <v>45960</v>
      </c>
      <c r="E210" s="175">
        <v>137.05000000000001</v>
      </c>
      <c r="F210" s="102">
        <f t="shared" si="15"/>
        <v>-2.4902170046246841E-2</v>
      </c>
      <c r="H210" s="97">
        <v>45960</v>
      </c>
      <c r="I210" s="175">
        <v>25877.85</v>
      </c>
      <c r="J210" s="102">
        <f t="shared" si="16"/>
        <v>-6.7571457632064069E-3</v>
      </c>
      <c r="P210" s="97">
        <v>45960</v>
      </c>
      <c r="Q210" s="175">
        <v>1070.2</v>
      </c>
      <c r="R210" s="102">
        <f t="shared" si="17"/>
        <v>-3.7362226788706376E-4</v>
      </c>
      <c r="T210" s="97">
        <v>45960</v>
      </c>
      <c r="U210" s="175">
        <v>43.43</v>
      </c>
      <c r="V210" s="102">
        <f t="shared" si="19"/>
        <v>-3.6387841136010679E-2</v>
      </c>
      <c r="X210" s="97">
        <v>45960</v>
      </c>
      <c r="Y210" s="175">
        <v>1210</v>
      </c>
      <c r="Z210" s="102">
        <f>Y210/Y209-1</f>
        <v>1.7385545161021643E-3</v>
      </c>
      <c r="AA210" s="178"/>
      <c r="AB210" s="97">
        <v>45960</v>
      </c>
      <c r="AC210" s="175">
        <v>184.35</v>
      </c>
      <c r="AD210" s="102">
        <f t="shared" si="18"/>
        <v>-4.5358820670662325E-3</v>
      </c>
    </row>
    <row r="211" spans="2:30" x14ac:dyDescent="0.3">
      <c r="B211" s="52" t="s">
        <v>893</v>
      </c>
      <c r="C211" s="52" t="s">
        <v>894</v>
      </c>
      <c r="D211" s="97">
        <v>45961</v>
      </c>
      <c r="E211" s="175">
        <v>136.85</v>
      </c>
      <c r="F211" s="102">
        <f t="shared" si="15"/>
        <v>-1.4593214155419476E-3</v>
      </c>
      <c r="H211" s="97">
        <v>45961</v>
      </c>
      <c r="I211" s="175">
        <v>25722.1</v>
      </c>
      <c r="J211" s="102">
        <f t="shared" si="16"/>
        <v>-6.0186607465457787E-3</v>
      </c>
      <c r="P211" s="97">
        <v>45961</v>
      </c>
      <c r="Q211" s="175">
        <v>1066.8</v>
      </c>
      <c r="R211" s="102">
        <f t="shared" si="17"/>
        <v>-3.1769762661185696E-3</v>
      </c>
      <c r="T211" s="97">
        <v>45961</v>
      </c>
      <c r="U211" s="175">
        <v>43.05</v>
      </c>
      <c r="V211" s="102">
        <f t="shared" si="19"/>
        <v>-8.7497121805204525E-3</v>
      </c>
      <c r="X211" s="97">
        <v>45961</v>
      </c>
      <c r="Y211" s="175">
        <v>1206</v>
      </c>
      <c r="Z211" s="102">
        <f>Y211/Y210-1</f>
        <v>-3.3057851239669533E-3</v>
      </c>
      <c r="AA211" s="178"/>
      <c r="AB211" s="97">
        <v>45961</v>
      </c>
      <c r="AC211" s="175">
        <v>182.84</v>
      </c>
      <c r="AD211" s="102">
        <f t="shared" si="18"/>
        <v>-8.1909411445619806E-3</v>
      </c>
    </row>
    <row r="212" spans="2:30" x14ac:dyDescent="0.3">
      <c r="B212" s="52" t="s">
        <v>893</v>
      </c>
      <c r="C212" s="52" t="s">
        <v>894</v>
      </c>
      <c r="D212" s="97">
        <v>45964</v>
      </c>
      <c r="E212" s="175">
        <v>137.97</v>
      </c>
      <c r="F212" s="102">
        <f t="shared" si="15"/>
        <v>8.1841432225064903E-3</v>
      </c>
      <c r="H212" s="97">
        <v>45964</v>
      </c>
      <c r="I212" s="175">
        <v>25763.35</v>
      </c>
      <c r="J212" s="102">
        <f t="shared" si="16"/>
        <v>1.6036793263380922E-3</v>
      </c>
      <c r="P212" s="97">
        <v>45964</v>
      </c>
      <c r="Q212" s="175">
        <v>1077</v>
      </c>
      <c r="R212" s="102">
        <f t="shared" si="17"/>
        <v>9.5613048368954345E-3</v>
      </c>
      <c r="T212" s="97">
        <v>45964</v>
      </c>
      <c r="U212" s="175">
        <v>45.48</v>
      </c>
      <c r="V212" s="102">
        <f t="shared" si="19"/>
        <v>5.6445993031358777E-2</v>
      </c>
      <c r="X212" s="97">
        <v>45964</v>
      </c>
      <c r="Y212" s="175">
        <v>1195</v>
      </c>
      <c r="Z212" s="102">
        <f>Y212/Y211-1</f>
        <v>-9.121061359867344E-3</v>
      </c>
      <c r="AA212" s="178"/>
      <c r="AB212" s="97">
        <v>45964</v>
      </c>
      <c r="AC212" s="175">
        <v>182.67</v>
      </c>
      <c r="AD212" s="102">
        <f t="shared" si="18"/>
        <v>-9.2977466637500505E-4</v>
      </c>
    </row>
    <row r="213" spans="2:30" x14ac:dyDescent="0.3">
      <c r="B213" s="52" t="s">
        <v>893</v>
      </c>
      <c r="C213" s="52" t="s">
        <v>894</v>
      </c>
      <c r="D213" s="97">
        <v>45965</v>
      </c>
      <c r="E213" s="175">
        <v>138.18</v>
      </c>
      <c r="F213" s="102">
        <f t="shared" si="15"/>
        <v>1.5220700152207556E-3</v>
      </c>
      <c r="H213" s="97">
        <v>45965</v>
      </c>
      <c r="I213" s="175">
        <v>25597.65</v>
      </c>
      <c r="J213" s="102">
        <f t="shared" si="16"/>
        <v>-6.4316170063286604E-3</v>
      </c>
      <c r="P213" s="97">
        <v>45965</v>
      </c>
      <c r="Q213" s="175">
        <v>1080.7</v>
      </c>
      <c r="R213" s="102">
        <f t="shared" si="17"/>
        <v>3.4354688950790635E-3</v>
      </c>
      <c r="T213" s="97">
        <v>45965</v>
      </c>
      <c r="U213" s="175">
        <v>44.97</v>
      </c>
      <c r="V213" s="102">
        <f t="shared" si="19"/>
        <v>-1.12137203166226E-2</v>
      </c>
      <c r="X213" s="97">
        <v>45965</v>
      </c>
      <c r="Y213" s="175">
        <v>1181.4000000000001</v>
      </c>
      <c r="Z213" s="102">
        <f>Y213/Y212-1</f>
        <v>-1.1380753138075184E-2</v>
      </c>
      <c r="AA213" s="178"/>
      <c r="AB213" s="97">
        <v>45965</v>
      </c>
      <c r="AC213" s="175">
        <v>179.29</v>
      </c>
      <c r="AD213" s="102">
        <f t="shared" si="18"/>
        <v>-1.8503311983357973E-2</v>
      </c>
    </row>
    <row r="214" spans="2:30" x14ac:dyDescent="0.3">
      <c r="B214" s="52" t="s">
        <v>893</v>
      </c>
      <c r="C214" s="52" t="s">
        <v>894</v>
      </c>
      <c r="D214" s="97">
        <v>45967</v>
      </c>
      <c r="E214" s="175">
        <v>137.91</v>
      </c>
      <c r="F214" s="102">
        <f t="shared" si="15"/>
        <v>-1.9539730785932408E-3</v>
      </c>
      <c r="H214" s="97">
        <v>45967</v>
      </c>
      <c r="I214" s="175">
        <v>25509.7</v>
      </c>
      <c r="J214" s="102">
        <f t="shared" si="16"/>
        <v>-3.4358622764198987E-3</v>
      </c>
      <c r="P214" s="97">
        <v>45967</v>
      </c>
      <c r="Q214" s="175">
        <v>1045.5</v>
      </c>
      <c r="R214" s="102">
        <f t="shared" si="17"/>
        <v>-3.2571481447210227E-2</v>
      </c>
      <c r="T214" s="97">
        <v>45967</v>
      </c>
      <c r="U214" s="175">
        <v>43.41</v>
      </c>
      <c r="V214" s="102">
        <f t="shared" si="19"/>
        <v>-3.4689793195463725E-2</v>
      </c>
      <c r="X214" s="97">
        <v>45967</v>
      </c>
      <c r="Y214" s="175">
        <v>1168.8</v>
      </c>
      <c r="Z214" s="102">
        <f>Y214/Y213-1</f>
        <v>-1.066531234129009E-2</v>
      </c>
      <c r="AA214" s="178"/>
      <c r="AB214" s="97">
        <v>45967</v>
      </c>
      <c r="AC214" s="175">
        <v>177.27</v>
      </c>
      <c r="AD214" s="102">
        <f t="shared" si="18"/>
        <v>-1.1266662948295925E-2</v>
      </c>
    </row>
    <row r="215" spans="2:30" x14ac:dyDescent="0.3">
      <c r="B215" s="52" t="s">
        <v>893</v>
      </c>
      <c r="C215" s="52" t="s">
        <v>894</v>
      </c>
      <c r="D215" s="97">
        <v>45968</v>
      </c>
      <c r="E215" s="175">
        <v>141</v>
      </c>
      <c r="F215" s="102">
        <f t="shared" si="15"/>
        <v>2.2405916902327627E-2</v>
      </c>
      <c r="H215" s="97">
        <v>45968</v>
      </c>
      <c r="I215" s="175">
        <v>25492.3</v>
      </c>
      <c r="J215" s="102">
        <f t="shared" si="16"/>
        <v>-6.8209347816716726E-4</v>
      </c>
      <c r="P215" s="97">
        <v>45968</v>
      </c>
      <c r="Q215" s="175">
        <v>1069.9000000000001</v>
      </c>
      <c r="R215" s="102">
        <f t="shared" si="17"/>
        <v>2.3338115734098608E-2</v>
      </c>
      <c r="T215" s="97">
        <v>45968</v>
      </c>
      <c r="U215" s="175">
        <v>43.47</v>
      </c>
      <c r="V215" s="102">
        <f t="shared" si="19"/>
        <v>1.3821700069109877E-3</v>
      </c>
      <c r="X215" s="97">
        <v>45968</v>
      </c>
      <c r="Y215" s="175">
        <v>1171.7</v>
      </c>
      <c r="Z215" s="102">
        <f>Y215/Y214-1</f>
        <v>2.4811772758386308E-3</v>
      </c>
      <c r="AA215" s="178"/>
      <c r="AB215" s="97">
        <v>45968</v>
      </c>
      <c r="AC215" s="175">
        <v>181.37</v>
      </c>
      <c r="AD215" s="102">
        <f t="shared" si="18"/>
        <v>2.3128560952219823E-2</v>
      </c>
    </row>
    <row r="216" spans="2:30" x14ac:dyDescent="0.3">
      <c r="B216" s="52" t="s">
        <v>893</v>
      </c>
      <c r="C216" s="52" t="s">
        <v>894</v>
      </c>
      <c r="D216" s="97">
        <v>45971</v>
      </c>
      <c r="E216" s="175">
        <v>144.34</v>
      </c>
      <c r="F216" s="102">
        <f t="shared" si="15"/>
        <v>2.3687943262411304E-2</v>
      </c>
      <c r="H216" s="97">
        <v>45971</v>
      </c>
      <c r="I216" s="175">
        <v>25574.35</v>
      </c>
      <c r="J216" s="102">
        <f t="shared" si="16"/>
        <v>3.2186189555276634E-3</v>
      </c>
      <c r="P216" s="97">
        <v>45971</v>
      </c>
      <c r="Q216" s="175">
        <v>1071.4000000000001</v>
      </c>
      <c r="R216" s="102">
        <f t="shared" si="17"/>
        <v>1.402000186933261E-3</v>
      </c>
      <c r="T216" s="97">
        <v>45971</v>
      </c>
      <c r="U216" s="175">
        <v>43.34</v>
      </c>
      <c r="V216" s="102">
        <f t="shared" si="19"/>
        <v>-2.9905682079593987E-3</v>
      </c>
      <c r="X216" s="97">
        <v>45971</v>
      </c>
      <c r="Y216" s="175">
        <v>1179.3</v>
      </c>
      <c r="Z216" s="102">
        <f>Y216/Y215-1</f>
        <v>6.4863019544250111E-3</v>
      </c>
      <c r="AA216" s="178"/>
      <c r="AB216" s="97">
        <v>45971</v>
      </c>
      <c r="AC216" s="175">
        <v>181.48</v>
      </c>
      <c r="AD216" s="102">
        <f t="shared" si="18"/>
        <v>6.064950102000477E-4</v>
      </c>
    </row>
    <row r="217" spans="2:30" x14ac:dyDescent="0.3">
      <c r="B217" s="52" t="s">
        <v>893</v>
      </c>
      <c r="C217" s="52" t="s">
        <v>894</v>
      </c>
      <c r="D217" s="97">
        <v>45972</v>
      </c>
      <c r="E217" s="175">
        <v>144.4</v>
      </c>
      <c r="F217" s="102">
        <f t="shared" si="15"/>
        <v>4.1568518775125796E-4</v>
      </c>
      <c r="H217" s="97">
        <v>45972</v>
      </c>
      <c r="I217" s="175">
        <v>25694.95</v>
      </c>
      <c r="J217" s="102">
        <f t="shared" si="16"/>
        <v>4.7156623726507529E-3</v>
      </c>
      <c r="P217" s="97">
        <v>45972</v>
      </c>
      <c r="Q217" s="175">
        <v>1080.2</v>
      </c>
      <c r="R217" s="102">
        <f t="shared" si="17"/>
        <v>8.2135523613962036E-3</v>
      </c>
      <c r="T217" s="97">
        <v>45972</v>
      </c>
      <c r="U217" s="175">
        <v>43.88</v>
      </c>
      <c r="V217" s="102">
        <f t="shared" si="19"/>
        <v>1.2459621596677461E-2</v>
      </c>
      <c r="X217" s="97">
        <v>45972</v>
      </c>
      <c r="Y217" s="175">
        <v>1191.5</v>
      </c>
      <c r="Z217" s="102">
        <f>Y217/Y216-1</f>
        <v>1.0345119986432616E-2</v>
      </c>
      <c r="AA217" s="178"/>
      <c r="AB217" s="97">
        <v>45972</v>
      </c>
      <c r="AC217" s="175">
        <v>181.04</v>
      </c>
      <c r="AD217" s="102">
        <f t="shared" si="18"/>
        <v>-2.4245095878333567E-3</v>
      </c>
    </row>
    <row r="218" spans="2:30" x14ac:dyDescent="0.3">
      <c r="B218" s="52" t="s">
        <v>893</v>
      </c>
      <c r="C218" s="52" t="s">
        <v>894</v>
      </c>
      <c r="D218" s="97">
        <v>45973</v>
      </c>
      <c r="E218" s="175">
        <v>143.49</v>
      </c>
      <c r="F218" s="102">
        <f t="shared" si="15"/>
        <v>-6.3019390581716683E-3</v>
      </c>
      <c r="H218" s="97">
        <v>45973</v>
      </c>
      <c r="I218" s="175">
        <v>25875.8</v>
      </c>
      <c r="J218" s="102">
        <f t="shared" si="16"/>
        <v>7.0383480022337963E-3</v>
      </c>
      <c r="P218" s="97">
        <v>45973</v>
      </c>
      <c r="Q218" s="175">
        <v>1079.9000000000001</v>
      </c>
      <c r="R218" s="102">
        <f t="shared" si="17"/>
        <v>-2.7772634697276199E-4</v>
      </c>
      <c r="T218" s="97">
        <v>45973</v>
      </c>
      <c r="U218" s="175">
        <v>43.76</v>
      </c>
      <c r="V218" s="102">
        <f t="shared" si="19"/>
        <v>-2.7347310847767314E-3</v>
      </c>
      <c r="X218" s="97">
        <v>45973</v>
      </c>
      <c r="Y218" s="175">
        <v>1181.8</v>
      </c>
      <c r="Z218" s="102">
        <f>Y218/Y217-1</f>
        <v>-8.1409987410827611E-3</v>
      </c>
      <c r="AA218" s="178"/>
      <c r="AB218" s="97">
        <v>45973</v>
      </c>
      <c r="AC218" s="175">
        <v>178.61</v>
      </c>
      <c r="AD218" s="102">
        <f t="shared" si="18"/>
        <v>-1.3422448077772708E-2</v>
      </c>
    </row>
    <row r="219" spans="2:30" x14ac:dyDescent="0.3">
      <c r="B219" s="52" t="s">
        <v>893</v>
      </c>
      <c r="C219" s="52" t="s">
        <v>894</v>
      </c>
      <c r="D219" s="97">
        <v>45974</v>
      </c>
      <c r="E219" s="175">
        <v>144.72</v>
      </c>
      <c r="F219" s="102">
        <f t="shared" si="15"/>
        <v>8.5720259251516051E-3</v>
      </c>
      <c r="H219" s="97">
        <v>45974</v>
      </c>
      <c r="I219" s="175">
        <v>25879.15</v>
      </c>
      <c r="J219" s="102">
        <f t="shared" si="16"/>
        <v>1.2946459626372864E-4</v>
      </c>
      <c r="P219" s="97">
        <v>45974</v>
      </c>
      <c r="Q219" s="175">
        <v>1087.8</v>
      </c>
      <c r="R219" s="102">
        <f t="shared" si="17"/>
        <v>7.3154921752012214E-3</v>
      </c>
      <c r="T219" s="97">
        <v>45974</v>
      </c>
      <c r="U219" s="175">
        <v>43.86</v>
      </c>
      <c r="V219" s="102">
        <f t="shared" si="19"/>
        <v>2.2851919561244216E-3</v>
      </c>
      <c r="X219" s="97">
        <v>45974</v>
      </c>
      <c r="Y219" s="175">
        <v>1183.9000000000001</v>
      </c>
      <c r="Z219" s="102">
        <f>Y219/Y218-1</f>
        <v>1.7769504146218917E-3</v>
      </c>
      <c r="AA219" s="178"/>
      <c r="AB219" s="97">
        <v>45974</v>
      </c>
      <c r="AC219" s="175">
        <v>176.65</v>
      </c>
      <c r="AD219" s="102">
        <f t="shared" si="18"/>
        <v>-1.0973629695985698E-2</v>
      </c>
    </row>
    <row r="220" spans="2:30" x14ac:dyDescent="0.3">
      <c r="B220" s="52" t="s">
        <v>893</v>
      </c>
      <c r="C220" s="52" t="s">
        <v>894</v>
      </c>
      <c r="D220" s="97">
        <v>45975</v>
      </c>
      <c r="E220" s="175">
        <v>141.99</v>
      </c>
      <c r="F220" s="102">
        <f t="shared" si="15"/>
        <v>-1.886401326699827E-2</v>
      </c>
      <c r="H220" s="97">
        <v>45975</v>
      </c>
      <c r="I220" s="175">
        <v>25910.05</v>
      </c>
      <c r="J220" s="102">
        <f t="shared" si="16"/>
        <v>1.194011395273753E-3</v>
      </c>
      <c r="P220" s="97">
        <v>45975</v>
      </c>
      <c r="Q220" s="175">
        <v>1076.2</v>
      </c>
      <c r="R220" s="102">
        <f t="shared" si="17"/>
        <v>-1.0663724949439124E-2</v>
      </c>
      <c r="T220" s="97">
        <v>45975</v>
      </c>
      <c r="U220" s="175">
        <v>43.19</v>
      </c>
      <c r="V220" s="102">
        <f t="shared" si="19"/>
        <v>-1.5275877792977677E-2</v>
      </c>
      <c r="X220" s="97">
        <v>45975</v>
      </c>
      <c r="Y220" s="175">
        <v>1167.8</v>
      </c>
      <c r="Z220" s="102">
        <f>Y220/Y219-1</f>
        <v>-1.359912154742815E-2</v>
      </c>
      <c r="AA220" s="178"/>
      <c r="AB220" s="97">
        <v>45975</v>
      </c>
      <c r="AC220" s="175">
        <v>174.26</v>
      </c>
      <c r="AD220" s="102">
        <f t="shared" si="18"/>
        <v>-1.3529578262100328E-2</v>
      </c>
    </row>
    <row r="221" spans="2:30" x14ac:dyDescent="0.3">
      <c r="B221" s="52" t="s">
        <v>893</v>
      </c>
      <c r="C221" s="52" t="s">
        <v>894</v>
      </c>
      <c r="D221" s="97">
        <v>45978</v>
      </c>
      <c r="E221" s="175">
        <v>141.33000000000001</v>
      </c>
      <c r="F221" s="102">
        <f t="shared" si="15"/>
        <v>-4.6482146630043575E-3</v>
      </c>
      <c r="H221" s="97">
        <v>45978</v>
      </c>
      <c r="I221" s="175">
        <v>26013.45</v>
      </c>
      <c r="J221" s="102">
        <f t="shared" si="16"/>
        <v>3.9907294659795589E-3</v>
      </c>
      <c r="P221" s="97">
        <v>45978</v>
      </c>
      <c r="Q221" s="175">
        <v>1080</v>
      </c>
      <c r="R221" s="102">
        <f t="shared" si="17"/>
        <v>3.5309422040512572E-3</v>
      </c>
      <c r="T221" s="97">
        <v>45978</v>
      </c>
      <c r="U221" s="175">
        <v>42.86</v>
      </c>
      <c r="V221" s="102">
        <f t="shared" si="19"/>
        <v>-7.6406575596202897E-3</v>
      </c>
      <c r="X221" s="97">
        <v>45978</v>
      </c>
      <c r="Y221" s="175">
        <v>1175.5</v>
      </c>
      <c r="Z221" s="102">
        <f>Y221/Y220-1</f>
        <v>6.5935947936290873E-3</v>
      </c>
      <c r="AA221" s="178"/>
      <c r="AB221" s="97">
        <v>45978</v>
      </c>
      <c r="AC221" s="175">
        <v>173.17</v>
      </c>
      <c r="AD221" s="102">
        <f t="shared" si="18"/>
        <v>-6.2550212326408783E-3</v>
      </c>
    </row>
    <row r="222" spans="2:30" x14ac:dyDescent="0.3">
      <c r="B222" s="52" t="s">
        <v>893</v>
      </c>
      <c r="C222" s="52" t="s">
        <v>894</v>
      </c>
      <c r="D222" s="97">
        <v>45979</v>
      </c>
      <c r="E222" s="175">
        <v>138.9</v>
      </c>
      <c r="F222" s="102">
        <f t="shared" si="15"/>
        <v>-1.719380174060714E-2</v>
      </c>
      <c r="H222" s="97">
        <v>45979</v>
      </c>
      <c r="I222" s="175">
        <v>25910.05</v>
      </c>
      <c r="J222" s="102">
        <f t="shared" si="16"/>
        <v>-3.9748668477268545E-3</v>
      </c>
      <c r="P222" s="97">
        <v>45979</v>
      </c>
      <c r="Q222" s="175">
        <v>1066.3</v>
      </c>
      <c r="R222" s="102">
        <f t="shared" si="17"/>
        <v>-1.2685185185185244E-2</v>
      </c>
      <c r="T222" s="97">
        <v>45979</v>
      </c>
      <c r="U222" s="175">
        <v>42.51</v>
      </c>
      <c r="V222" s="102">
        <f t="shared" si="19"/>
        <v>-8.1661222585160953E-3</v>
      </c>
      <c r="X222" s="97">
        <v>45979</v>
      </c>
      <c r="Y222" s="175">
        <v>1163</v>
      </c>
      <c r="Z222" s="102">
        <f>Y222/Y221-1</f>
        <v>-1.063377286261169E-2</v>
      </c>
      <c r="AA222" s="178"/>
      <c r="AB222" s="97">
        <v>45979</v>
      </c>
      <c r="AC222" s="175">
        <v>172.45</v>
      </c>
      <c r="AD222" s="102">
        <f t="shared" si="18"/>
        <v>-4.1577640468902777E-3</v>
      </c>
    </row>
    <row r="223" spans="2:30" x14ac:dyDescent="0.3">
      <c r="B223" s="52" t="s">
        <v>893</v>
      </c>
      <c r="C223" s="52" t="s">
        <v>894</v>
      </c>
      <c r="D223" s="97">
        <v>45980</v>
      </c>
      <c r="E223" s="175">
        <v>139.99</v>
      </c>
      <c r="F223" s="102">
        <f t="shared" si="15"/>
        <v>7.8473722102232468E-3</v>
      </c>
      <c r="H223" s="97">
        <v>45980</v>
      </c>
      <c r="I223" s="175">
        <v>26052.65</v>
      </c>
      <c r="J223" s="102">
        <f t="shared" si="16"/>
        <v>5.5036559172985111E-3</v>
      </c>
      <c r="P223" s="97">
        <v>45980</v>
      </c>
      <c r="Q223" s="175">
        <v>1071</v>
      </c>
      <c r="R223" s="102">
        <f t="shared" si="17"/>
        <v>4.4077651692768782E-3</v>
      </c>
      <c r="T223" s="97">
        <v>45980</v>
      </c>
      <c r="U223" s="175">
        <v>41.99</v>
      </c>
      <c r="V223" s="102">
        <f t="shared" si="19"/>
        <v>-1.2232415902140525E-2</v>
      </c>
      <c r="X223" s="97">
        <v>45980</v>
      </c>
      <c r="Y223" s="175">
        <v>1164.9000000000001</v>
      </c>
      <c r="Z223" s="102">
        <f t="shared" ref="Z223:Z252" si="20">Y223/Y222-1</f>
        <v>1.6337059329321058E-3</v>
      </c>
      <c r="AA223" s="178"/>
      <c r="AB223" s="97">
        <v>45980</v>
      </c>
      <c r="AC223" s="175">
        <v>173.21</v>
      </c>
      <c r="AD223" s="102">
        <f t="shared" si="18"/>
        <v>4.4070745143520718E-3</v>
      </c>
    </row>
    <row r="224" spans="2:30" x14ac:dyDescent="0.3">
      <c r="B224" s="52" t="s">
        <v>893</v>
      </c>
      <c r="C224" s="52" t="s">
        <v>894</v>
      </c>
      <c r="D224" s="97">
        <v>45981</v>
      </c>
      <c r="E224" s="175">
        <v>138.19</v>
      </c>
      <c r="F224" s="102">
        <f t="shared" si="15"/>
        <v>-1.285806129009226E-2</v>
      </c>
      <c r="H224" s="97">
        <v>45981</v>
      </c>
      <c r="I224" s="175">
        <v>26192.15</v>
      </c>
      <c r="J224" s="102">
        <f t="shared" si="16"/>
        <v>5.3545416685059077E-3</v>
      </c>
      <c r="P224" s="97">
        <v>45981</v>
      </c>
      <c r="Q224" s="175">
        <v>1069.4000000000001</v>
      </c>
      <c r="R224" s="102">
        <f t="shared" si="17"/>
        <v>-1.4939309056954952E-3</v>
      </c>
      <c r="T224" s="97">
        <v>45981</v>
      </c>
      <c r="U224" s="175">
        <v>41.88</v>
      </c>
      <c r="V224" s="102">
        <f t="shared" si="19"/>
        <v>-2.6196713503214841E-3</v>
      </c>
      <c r="X224" s="97">
        <v>45981</v>
      </c>
      <c r="Y224" s="175">
        <v>1170</v>
      </c>
      <c r="Z224" s="102">
        <f t="shared" si="20"/>
        <v>4.3780582024206538E-3</v>
      </c>
      <c r="AA224" s="178"/>
      <c r="AB224" s="97">
        <v>45981</v>
      </c>
      <c r="AC224" s="175">
        <v>172.46</v>
      </c>
      <c r="AD224" s="102">
        <f t="shared" si="18"/>
        <v>-4.3300040413370988E-3</v>
      </c>
    </row>
    <row r="225" spans="2:30" x14ac:dyDescent="0.3">
      <c r="B225" s="52" t="s">
        <v>893</v>
      </c>
      <c r="C225" s="52" t="s">
        <v>894</v>
      </c>
      <c r="D225" s="97">
        <v>45982</v>
      </c>
      <c r="E225" s="175">
        <v>134.08000000000001</v>
      </c>
      <c r="F225" s="102">
        <f t="shared" si="15"/>
        <v>-2.9741660033287376E-2</v>
      </c>
      <c r="H225" s="97">
        <v>45982</v>
      </c>
      <c r="I225" s="175">
        <v>26068.15</v>
      </c>
      <c r="J225" s="102">
        <f t="shared" si="16"/>
        <v>-4.7342428933859759E-3</v>
      </c>
      <c r="P225" s="97">
        <v>45982</v>
      </c>
      <c r="Q225" s="175">
        <v>1038.5999999999999</v>
      </c>
      <c r="R225" s="102">
        <f t="shared" si="17"/>
        <v>-2.8801196932859763E-2</v>
      </c>
      <c r="T225" s="97">
        <v>45982</v>
      </c>
      <c r="U225" s="175">
        <v>41.15</v>
      </c>
      <c r="V225" s="102">
        <f t="shared" si="19"/>
        <v>-1.7430754536771786E-2</v>
      </c>
      <c r="X225" s="97">
        <v>45982</v>
      </c>
      <c r="Y225" s="175">
        <v>1140.3</v>
      </c>
      <c r="Z225" s="102">
        <f t="shared" si="20"/>
        <v>-2.538461538461545E-2</v>
      </c>
      <c r="AA225" s="178"/>
      <c r="AB225" s="97">
        <v>45982</v>
      </c>
      <c r="AC225" s="175">
        <v>168</v>
      </c>
      <c r="AD225" s="102">
        <f t="shared" si="18"/>
        <v>-2.5861069233445444E-2</v>
      </c>
    </row>
    <row r="226" spans="2:30" x14ac:dyDescent="0.3">
      <c r="B226" s="52" t="s">
        <v>893</v>
      </c>
      <c r="C226" s="52" t="s">
        <v>894</v>
      </c>
      <c r="D226" s="97">
        <v>45985</v>
      </c>
      <c r="E226" s="175">
        <v>132.08000000000001</v>
      </c>
      <c r="F226" s="102">
        <f t="shared" si="15"/>
        <v>-1.4916467780429543E-2</v>
      </c>
      <c r="H226" s="97">
        <v>45985</v>
      </c>
      <c r="I226" s="175">
        <v>25959.5</v>
      </c>
      <c r="J226" s="102">
        <f t="shared" si="16"/>
        <v>-4.1679213906625767E-3</v>
      </c>
      <c r="P226" s="97">
        <v>45985</v>
      </c>
      <c r="Q226" s="175">
        <v>1021.3</v>
      </c>
      <c r="R226" s="102">
        <f t="shared" si="17"/>
        <v>-1.6657038320816442E-2</v>
      </c>
      <c r="T226" s="97">
        <v>45985</v>
      </c>
      <c r="U226" s="175">
        <v>40.9</v>
      </c>
      <c r="V226" s="102">
        <f t="shared" si="19"/>
        <v>-6.0753341433779084E-3</v>
      </c>
      <c r="X226" s="97">
        <v>45985</v>
      </c>
      <c r="Y226" s="175">
        <v>1106</v>
      </c>
      <c r="Z226" s="102">
        <f t="shared" si="20"/>
        <v>-3.0079803560466467E-2</v>
      </c>
      <c r="AA226" s="178"/>
      <c r="AB226" s="97">
        <v>45985</v>
      </c>
      <c r="AC226" s="175">
        <v>165.36</v>
      </c>
      <c r="AD226" s="102">
        <f t="shared" si="18"/>
        <v>-1.5714285714285681E-2</v>
      </c>
    </row>
    <row r="227" spans="2:30" x14ac:dyDescent="0.3">
      <c r="B227" s="52" t="s">
        <v>893</v>
      </c>
      <c r="C227" s="52" t="s">
        <v>894</v>
      </c>
      <c r="D227" s="97">
        <v>45986</v>
      </c>
      <c r="E227" s="175">
        <v>132.25</v>
      </c>
      <c r="F227" s="102">
        <f t="shared" si="15"/>
        <v>1.2870987280435564E-3</v>
      </c>
      <c r="H227" s="97">
        <v>45986</v>
      </c>
      <c r="I227" s="175">
        <v>25884.799999999999</v>
      </c>
      <c r="J227" s="102">
        <f t="shared" si="16"/>
        <v>-2.8775592750245327E-3</v>
      </c>
      <c r="P227" s="97">
        <v>45986</v>
      </c>
      <c r="Q227" s="175">
        <v>1022.6</v>
      </c>
      <c r="R227" s="102">
        <f t="shared" si="17"/>
        <v>1.2728874963283676E-3</v>
      </c>
      <c r="T227" s="97">
        <v>45986</v>
      </c>
      <c r="U227" s="175">
        <v>40.99</v>
      </c>
      <c r="V227" s="102">
        <f t="shared" si="19"/>
        <v>2.2004889975550945E-3</v>
      </c>
      <c r="X227" s="97">
        <v>45986</v>
      </c>
      <c r="Y227" s="175">
        <v>1112</v>
      </c>
      <c r="Z227" s="102">
        <f t="shared" si="20"/>
        <v>5.4249547920433017E-3</v>
      </c>
      <c r="AA227" s="178"/>
      <c r="AB227" s="97">
        <v>45986</v>
      </c>
      <c r="AC227" s="175">
        <v>166.33</v>
      </c>
      <c r="AD227" s="102">
        <f t="shared" si="18"/>
        <v>5.8659893565553567E-3</v>
      </c>
    </row>
    <row r="228" spans="2:30" x14ac:dyDescent="0.3">
      <c r="B228" s="52" t="s">
        <v>893</v>
      </c>
      <c r="C228" s="52" t="s">
        <v>894</v>
      </c>
      <c r="D228" s="97">
        <v>45987</v>
      </c>
      <c r="E228" s="175">
        <v>136.91999999999999</v>
      </c>
      <c r="F228" s="102">
        <f t="shared" si="15"/>
        <v>3.5311909262759844E-2</v>
      </c>
      <c r="H228" s="97">
        <v>45987</v>
      </c>
      <c r="I228" s="175">
        <v>26205.3</v>
      </c>
      <c r="J228" s="102">
        <f t="shared" si="16"/>
        <v>1.238178390406719E-2</v>
      </c>
      <c r="P228" s="97">
        <v>45987</v>
      </c>
      <c r="Q228" s="175">
        <v>1042.4000000000001</v>
      </c>
      <c r="R228" s="102">
        <f t="shared" si="17"/>
        <v>1.936240954429902E-2</v>
      </c>
      <c r="T228" s="97">
        <v>45987</v>
      </c>
      <c r="U228" s="175">
        <v>42.81</v>
      </c>
      <c r="V228" s="102">
        <f t="shared" si="19"/>
        <v>4.4401073432544624E-2</v>
      </c>
      <c r="X228" s="97">
        <v>45987</v>
      </c>
      <c r="Y228" s="175">
        <v>1154.4000000000001</v>
      </c>
      <c r="Z228" s="102">
        <f t="shared" si="20"/>
        <v>3.8129496402877772E-2</v>
      </c>
      <c r="AA228" s="178"/>
      <c r="AB228" s="97">
        <v>45987</v>
      </c>
      <c r="AC228" s="175">
        <v>169.67</v>
      </c>
      <c r="AD228" s="102">
        <f t="shared" si="18"/>
        <v>2.008056273672798E-2</v>
      </c>
    </row>
    <row r="229" spans="2:30" x14ac:dyDescent="0.3">
      <c r="B229" s="52" t="s">
        <v>893</v>
      </c>
      <c r="C229" s="52" t="s">
        <v>894</v>
      </c>
      <c r="D229" s="97">
        <v>45988</v>
      </c>
      <c r="E229" s="175">
        <v>136.21</v>
      </c>
      <c r="F229" s="102">
        <f t="shared" si="15"/>
        <v>-5.1855097867365973E-3</v>
      </c>
      <c r="H229" s="97">
        <v>45988</v>
      </c>
      <c r="I229" s="175">
        <v>26215.55</v>
      </c>
      <c r="J229" s="102">
        <f t="shared" si="16"/>
        <v>3.9114224985015156E-4</v>
      </c>
      <c r="P229" s="97">
        <v>45988</v>
      </c>
      <c r="Q229" s="175">
        <v>1041.0999999999999</v>
      </c>
      <c r="R229" s="102">
        <f t="shared" si="17"/>
        <v>-1.2471220260937832E-3</v>
      </c>
      <c r="T229" s="97">
        <v>45988</v>
      </c>
      <c r="U229" s="175">
        <v>42.66</v>
      </c>
      <c r="V229" s="102">
        <f t="shared" si="19"/>
        <v>-3.5038542396638173E-3</v>
      </c>
      <c r="X229" s="97">
        <v>45988</v>
      </c>
      <c r="Y229" s="175">
        <v>1160.5999999999999</v>
      </c>
      <c r="Z229" s="102">
        <f t="shared" si="20"/>
        <v>5.3707553707551536E-3</v>
      </c>
      <c r="AA229" s="178"/>
      <c r="AB229" s="97">
        <v>45988</v>
      </c>
      <c r="AC229" s="175">
        <v>168.13</v>
      </c>
      <c r="AD229" s="102">
        <f t="shared" si="18"/>
        <v>-9.0764425060411158E-3</v>
      </c>
    </row>
    <row r="230" spans="2:30" x14ac:dyDescent="0.3">
      <c r="B230" s="52" t="s">
        <v>893</v>
      </c>
      <c r="C230" s="52" t="s">
        <v>894</v>
      </c>
      <c r="D230" s="97">
        <v>45989</v>
      </c>
      <c r="E230" s="175">
        <v>134.91</v>
      </c>
      <c r="F230" s="102">
        <f t="shared" si="15"/>
        <v>-9.5440863372734386E-3</v>
      </c>
      <c r="H230" s="97">
        <v>45989</v>
      </c>
      <c r="I230" s="175">
        <v>26202.95</v>
      </c>
      <c r="J230" s="102">
        <f t="shared" si="16"/>
        <v>-4.806307706685109E-4</v>
      </c>
      <c r="P230" s="97">
        <v>45989</v>
      </c>
      <c r="Q230" s="175">
        <v>1044.4000000000001</v>
      </c>
      <c r="R230" s="102">
        <f t="shared" si="17"/>
        <v>3.1697243300357059E-3</v>
      </c>
      <c r="T230" s="97">
        <v>45989</v>
      </c>
      <c r="U230" s="175">
        <v>41.87</v>
      </c>
      <c r="V230" s="102">
        <f t="shared" si="19"/>
        <v>-1.851851851851849E-2</v>
      </c>
      <c r="X230" s="97">
        <v>45989</v>
      </c>
      <c r="Y230" s="175">
        <v>1160.3</v>
      </c>
      <c r="Z230" s="102">
        <f t="shared" si="20"/>
        <v>-2.5848698948816029E-4</v>
      </c>
      <c r="AA230" s="178"/>
      <c r="AB230" s="97">
        <v>45989</v>
      </c>
      <c r="AC230" s="175">
        <v>167.96</v>
      </c>
      <c r="AD230" s="102">
        <f t="shared" si="18"/>
        <v>-1.0111223458038054E-3</v>
      </c>
    </row>
    <row r="231" spans="2:30" x14ac:dyDescent="0.3">
      <c r="B231" s="52" t="s">
        <v>893</v>
      </c>
      <c r="C231" s="52" t="s">
        <v>894</v>
      </c>
      <c r="D231" s="97">
        <v>45992</v>
      </c>
      <c r="E231" s="175">
        <v>135.05000000000001</v>
      </c>
      <c r="F231" s="102">
        <f t="shared" si="15"/>
        <v>1.0377288562746223E-3</v>
      </c>
      <c r="H231" s="97">
        <v>45992</v>
      </c>
      <c r="I231" s="175">
        <v>26175.75</v>
      </c>
      <c r="J231" s="102">
        <f t="shared" si="16"/>
        <v>-1.0380510591364578E-3</v>
      </c>
      <c r="P231" s="97">
        <v>45992</v>
      </c>
      <c r="Q231" s="175">
        <v>1048</v>
      </c>
      <c r="R231" s="102">
        <f t="shared" si="17"/>
        <v>3.4469551895823791E-3</v>
      </c>
      <c r="T231" s="97">
        <v>45992</v>
      </c>
      <c r="U231" s="175">
        <v>41.97</v>
      </c>
      <c r="V231" s="102">
        <f t="shared" si="19"/>
        <v>2.3883448770003479E-3</v>
      </c>
      <c r="X231" s="97">
        <v>45992</v>
      </c>
      <c r="Y231" s="175">
        <v>1168.4000000000001</v>
      </c>
      <c r="Z231" s="102">
        <f t="shared" si="20"/>
        <v>6.9809532017581777E-3</v>
      </c>
      <c r="AA231" s="178"/>
      <c r="AB231" s="97">
        <v>45992</v>
      </c>
      <c r="AC231" s="175">
        <v>168.63</v>
      </c>
      <c r="AD231" s="102">
        <f t="shared" si="18"/>
        <v>3.9890450107167297E-3</v>
      </c>
    </row>
    <row r="232" spans="2:30" x14ac:dyDescent="0.3">
      <c r="B232" s="52" t="s">
        <v>893</v>
      </c>
      <c r="C232" s="52" t="s">
        <v>894</v>
      </c>
      <c r="D232" s="97">
        <v>45993</v>
      </c>
      <c r="E232" s="175">
        <v>132.46</v>
      </c>
      <c r="F232" s="102">
        <f t="shared" si="15"/>
        <v>-1.9178082191780854E-2</v>
      </c>
      <c r="H232" s="97">
        <v>45993</v>
      </c>
      <c r="I232" s="175">
        <v>26032.2</v>
      </c>
      <c r="J232" s="102">
        <f t="shared" si="16"/>
        <v>-5.4840835506145824E-3</v>
      </c>
      <c r="P232" s="97">
        <v>45993</v>
      </c>
      <c r="Q232" s="175">
        <v>1028.8</v>
      </c>
      <c r="R232" s="102">
        <f t="shared" si="17"/>
        <v>-1.8320610687022953E-2</v>
      </c>
      <c r="T232" s="97">
        <v>45993</v>
      </c>
      <c r="U232" s="175">
        <v>41.93</v>
      </c>
      <c r="V232" s="102">
        <f t="shared" si="19"/>
        <v>-9.5306171074571733E-4</v>
      </c>
      <c r="X232" s="97">
        <v>45993</v>
      </c>
      <c r="Y232" s="175">
        <v>1162</v>
      </c>
      <c r="Z232" s="102">
        <f t="shared" si="20"/>
        <v>-5.4775761725437411E-3</v>
      </c>
      <c r="AA232" s="178"/>
      <c r="AB232" s="97">
        <v>45993</v>
      </c>
      <c r="AC232" s="175">
        <v>167.78</v>
      </c>
      <c r="AD232" s="102">
        <f t="shared" si="18"/>
        <v>-5.0406214789776582E-3</v>
      </c>
    </row>
    <row r="233" spans="2:30" x14ac:dyDescent="0.3">
      <c r="B233" s="52" t="s">
        <v>893</v>
      </c>
      <c r="C233" s="52" t="s">
        <v>894</v>
      </c>
      <c r="D233" s="97">
        <v>45994</v>
      </c>
      <c r="E233" s="175">
        <v>131.91999999999999</v>
      </c>
      <c r="F233" s="102">
        <f t="shared" si="15"/>
        <v>-4.0767024007248853E-3</v>
      </c>
      <c r="H233" s="97">
        <v>45994</v>
      </c>
      <c r="I233" s="175">
        <v>25986</v>
      </c>
      <c r="J233" s="102">
        <f t="shared" si="16"/>
        <v>-1.7747251480858539E-3</v>
      </c>
      <c r="P233" s="97">
        <v>45994</v>
      </c>
      <c r="Q233" s="175">
        <v>1017.9</v>
      </c>
      <c r="R233" s="102">
        <f t="shared" si="17"/>
        <v>-1.0594867807153907E-2</v>
      </c>
      <c r="T233" s="97">
        <v>45994</v>
      </c>
      <c r="U233" s="175">
        <v>41.53</v>
      </c>
      <c r="V233" s="102">
        <f t="shared" si="19"/>
        <v>-9.5397090388742445E-3</v>
      </c>
      <c r="X233" s="97">
        <v>45994</v>
      </c>
      <c r="Y233" s="175">
        <v>1143.5999999999999</v>
      </c>
      <c r="Z233" s="102">
        <f t="shared" si="20"/>
        <v>-1.583476764199665E-2</v>
      </c>
      <c r="AA233" s="178"/>
      <c r="AB233" s="97">
        <v>45994</v>
      </c>
      <c r="AC233" s="175">
        <v>166.92</v>
      </c>
      <c r="AD233" s="102">
        <f t="shared" si="18"/>
        <v>-5.1257599237096718E-3</v>
      </c>
    </row>
    <row r="234" spans="2:30" x14ac:dyDescent="0.3">
      <c r="B234" s="52" t="s">
        <v>893</v>
      </c>
      <c r="C234" s="52" t="s">
        <v>894</v>
      </c>
      <c r="D234" s="97">
        <v>45995</v>
      </c>
      <c r="E234" s="175">
        <v>132.13999999999999</v>
      </c>
      <c r="F234" s="102">
        <f t="shared" si="15"/>
        <v>1.6676773802304368E-3</v>
      </c>
      <c r="H234" s="97">
        <v>45995</v>
      </c>
      <c r="I234" s="175">
        <v>26033.75</v>
      </c>
      <c r="J234" s="102">
        <f t="shared" si="16"/>
        <v>1.8375278996383138E-3</v>
      </c>
      <c r="P234" s="97">
        <v>45995</v>
      </c>
      <c r="Q234" s="175">
        <v>1005.8</v>
      </c>
      <c r="R234" s="102">
        <f t="shared" si="17"/>
        <v>-1.1887218783770526E-2</v>
      </c>
      <c r="T234" s="97">
        <v>45995</v>
      </c>
      <c r="U234" s="175">
        <v>41.44</v>
      </c>
      <c r="V234" s="102">
        <f t="shared" si="19"/>
        <v>-2.1671081146160676E-3</v>
      </c>
      <c r="X234" s="97">
        <v>45995</v>
      </c>
      <c r="Y234" s="175">
        <v>1150.5999999999999</v>
      </c>
      <c r="Z234" s="102">
        <f t="shared" si="20"/>
        <v>6.1210213361315713E-3</v>
      </c>
      <c r="AA234" s="178"/>
      <c r="AB234" s="97">
        <v>45995</v>
      </c>
      <c r="AC234" s="175">
        <v>166.77</v>
      </c>
      <c r="AD234" s="102">
        <f t="shared" si="18"/>
        <v>-8.9863407620405233E-4</v>
      </c>
    </row>
    <row r="235" spans="2:30" x14ac:dyDescent="0.3">
      <c r="B235" s="52" t="s">
        <v>893</v>
      </c>
      <c r="C235" s="52" t="s">
        <v>894</v>
      </c>
      <c r="D235" s="97">
        <v>45996</v>
      </c>
      <c r="E235" s="175">
        <v>132.54</v>
      </c>
      <c r="F235" s="102">
        <f t="shared" si="15"/>
        <v>3.0270924776751862E-3</v>
      </c>
      <c r="H235" s="97">
        <v>45996</v>
      </c>
      <c r="I235" s="175">
        <v>26186.45</v>
      </c>
      <c r="J235" s="102">
        <f t="shared" si="16"/>
        <v>5.8654631007826197E-3</v>
      </c>
      <c r="P235" s="97">
        <v>45996</v>
      </c>
      <c r="Q235" s="175">
        <v>1006.8</v>
      </c>
      <c r="R235" s="102">
        <f t="shared" si="17"/>
        <v>9.9423344601312635E-4</v>
      </c>
      <c r="T235" s="97">
        <v>45996</v>
      </c>
      <c r="U235" s="175">
        <v>41.13</v>
      </c>
      <c r="V235" s="102">
        <f t="shared" si="19"/>
        <v>-7.4806949806948131E-3</v>
      </c>
      <c r="X235" s="97">
        <v>45996</v>
      </c>
      <c r="Y235" s="175">
        <v>1162.2</v>
      </c>
      <c r="Z235" s="102">
        <f t="shared" si="20"/>
        <v>1.0081696506170745E-2</v>
      </c>
      <c r="AA235" s="178"/>
      <c r="AB235" s="97">
        <v>45996</v>
      </c>
      <c r="AC235" s="175">
        <v>167.11</v>
      </c>
      <c r="AD235" s="102">
        <f t="shared" si="18"/>
        <v>2.0387359836901986E-3</v>
      </c>
    </row>
    <row r="236" spans="2:30" x14ac:dyDescent="0.3">
      <c r="B236" s="52" t="s">
        <v>893</v>
      </c>
      <c r="C236" s="52" t="s">
        <v>894</v>
      </c>
      <c r="D236" s="97">
        <v>45999</v>
      </c>
      <c r="E236" s="175">
        <v>129.75</v>
      </c>
      <c r="F236" s="102">
        <f t="shared" si="15"/>
        <v>-2.1050248981439479E-2</v>
      </c>
      <c r="H236" s="97">
        <v>45999</v>
      </c>
      <c r="I236" s="175">
        <v>25960.55</v>
      </c>
      <c r="J236" s="102">
        <f t="shared" si="16"/>
        <v>-8.626598870790092E-3</v>
      </c>
      <c r="P236" s="97">
        <v>45999</v>
      </c>
      <c r="Q236" s="175">
        <v>997.5</v>
      </c>
      <c r="R236" s="102">
        <f t="shared" si="17"/>
        <v>-9.2371871275327422E-3</v>
      </c>
      <c r="T236" s="97">
        <v>45999</v>
      </c>
      <c r="U236" s="175">
        <v>39.76</v>
      </c>
      <c r="V236" s="102">
        <f t="shared" si="19"/>
        <v>-3.3309020179917437E-2</v>
      </c>
      <c r="X236" s="97">
        <v>45999</v>
      </c>
      <c r="Y236" s="175">
        <v>1119.0999999999999</v>
      </c>
      <c r="Z236" s="102">
        <f t="shared" si="20"/>
        <v>-3.708483909826199E-2</v>
      </c>
      <c r="AA236" s="178"/>
      <c r="AB236" s="97">
        <v>45999</v>
      </c>
      <c r="AC236" s="175">
        <v>163.47</v>
      </c>
      <c r="AD236" s="102">
        <f t="shared" si="18"/>
        <v>-2.1782059721141889E-2</v>
      </c>
    </row>
    <row r="237" spans="2:30" x14ac:dyDescent="0.3">
      <c r="B237" s="52" t="s">
        <v>893</v>
      </c>
      <c r="C237" s="52" t="s">
        <v>894</v>
      </c>
      <c r="D237" s="97">
        <v>46000</v>
      </c>
      <c r="E237" s="175">
        <v>129.15</v>
      </c>
      <c r="F237" s="102">
        <f t="shared" si="15"/>
        <v>-4.6242774566473965E-3</v>
      </c>
      <c r="H237" s="97">
        <v>46000</v>
      </c>
      <c r="I237" s="175">
        <v>25839.65</v>
      </c>
      <c r="J237" s="102">
        <f t="shared" si="16"/>
        <v>-4.6570662023723841E-3</v>
      </c>
      <c r="P237" s="97">
        <v>46000</v>
      </c>
      <c r="Q237" s="175">
        <v>1002.8</v>
      </c>
      <c r="R237" s="102">
        <f t="shared" si="17"/>
        <v>5.3132832080200476E-3</v>
      </c>
      <c r="T237" s="97">
        <v>46000</v>
      </c>
      <c r="U237" s="175">
        <v>40.19</v>
      </c>
      <c r="V237" s="102">
        <f t="shared" si="19"/>
        <v>1.0814889336016043E-2</v>
      </c>
      <c r="X237" s="97">
        <v>46000</v>
      </c>
      <c r="Y237" s="175">
        <v>1107.8</v>
      </c>
      <c r="Z237" s="102">
        <f t="shared" si="20"/>
        <v>-1.0097399696184395E-2</v>
      </c>
      <c r="AA237" s="178"/>
      <c r="AB237" s="97">
        <v>46000</v>
      </c>
      <c r="AC237" s="175">
        <v>160.66999999999999</v>
      </c>
      <c r="AD237" s="102">
        <f t="shared" si="18"/>
        <v>-1.7128525111641313E-2</v>
      </c>
    </row>
    <row r="238" spans="2:30" x14ac:dyDescent="0.3">
      <c r="B238" s="52" t="s">
        <v>893</v>
      </c>
      <c r="C238" s="52" t="s">
        <v>894</v>
      </c>
      <c r="D238" s="97">
        <v>46001</v>
      </c>
      <c r="E238" s="175">
        <v>128.52000000000001</v>
      </c>
      <c r="F238" s="102">
        <f t="shared" si="15"/>
        <v>-4.8780487804878092E-3</v>
      </c>
      <c r="H238" s="97">
        <v>46001</v>
      </c>
      <c r="I238" s="175">
        <v>25758</v>
      </c>
      <c r="J238" s="102">
        <f t="shared" si="16"/>
        <v>-3.15987252149319E-3</v>
      </c>
      <c r="P238" s="97">
        <v>46001</v>
      </c>
      <c r="Q238" s="175">
        <v>1008.9</v>
      </c>
      <c r="R238" s="102">
        <f t="shared" si="17"/>
        <v>6.0829676904667895E-3</v>
      </c>
      <c r="T238" s="97">
        <v>46001</v>
      </c>
      <c r="U238" s="175">
        <v>40.299999999999997</v>
      </c>
      <c r="V238" s="102">
        <f t="shared" si="19"/>
        <v>2.7369992535455356E-3</v>
      </c>
      <c r="X238" s="97">
        <v>46001</v>
      </c>
      <c r="Y238" s="175">
        <v>1096.8</v>
      </c>
      <c r="Z238" s="102">
        <f t="shared" si="20"/>
        <v>-9.9295901787326279E-3</v>
      </c>
      <c r="AA238" s="178"/>
      <c r="AB238" s="97">
        <v>46001</v>
      </c>
      <c r="AC238" s="175">
        <v>162.22999999999999</v>
      </c>
      <c r="AD238" s="102">
        <f t="shared" si="18"/>
        <v>9.7093421298313221E-3</v>
      </c>
    </row>
    <row r="239" spans="2:30" x14ac:dyDescent="0.3">
      <c r="B239" s="52" t="s">
        <v>893</v>
      </c>
      <c r="C239" s="52" t="s">
        <v>894</v>
      </c>
      <c r="D239" s="97">
        <v>46002</v>
      </c>
      <c r="E239" s="175">
        <v>129.54</v>
      </c>
      <c r="F239" s="102">
        <f t="shared" si="15"/>
        <v>7.9365079365076863E-3</v>
      </c>
      <c r="H239" s="97">
        <v>46002</v>
      </c>
      <c r="I239" s="175">
        <v>25898.55</v>
      </c>
      <c r="J239" s="102">
        <f t="shared" si="16"/>
        <v>5.4565571861169282E-3</v>
      </c>
      <c r="P239" s="97">
        <v>46002</v>
      </c>
      <c r="Q239" s="175">
        <v>1012.9</v>
      </c>
      <c r="R239" s="102">
        <f t="shared" si="17"/>
        <v>3.9647140449994289E-3</v>
      </c>
      <c r="T239" s="97">
        <v>46002</v>
      </c>
      <c r="U239" s="175">
        <v>40.69</v>
      </c>
      <c r="V239" s="102">
        <f t="shared" si="19"/>
        <v>9.6774193548387899E-3</v>
      </c>
      <c r="X239" s="97">
        <v>46002</v>
      </c>
      <c r="Y239" s="175">
        <v>1105.4000000000001</v>
      </c>
      <c r="Z239" s="102">
        <f t="shared" si="20"/>
        <v>7.8409919766595504E-3</v>
      </c>
      <c r="AA239" s="178"/>
      <c r="AB239" s="97">
        <v>46002</v>
      </c>
      <c r="AC239" s="175">
        <v>166.38</v>
      </c>
      <c r="AD239" s="102">
        <f t="shared" si="18"/>
        <v>2.5580965296184477E-2</v>
      </c>
    </row>
    <row r="240" spans="2:30" x14ac:dyDescent="0.3">
      <c r="B240" s="52" t="s">
        <v>893</v>
      </c>
      <c r="C240" s="52" t="s">
        <v>894</v>
      </c>
      <c r="D240" s="97">
        <v>46003</v>
      </c>
      <c r="E240" s="175">
        <v>131.9</v>
      </c>
      <c r="F240" s="102">
        <f t="shared" si="15"/>
        <v>1.8218310946426008E-2</v>
      </c>
      <c r="H240" s="97">
        <v>46003</v>
      </c>
      <c r="I240" s="175">
        <v>26046.95</v>
      </c>
      <c r="J240" s="102">
        <f t="shared" si="16"/>
        <v>5.7300505240640565E-3</v>
      </c>
      <c r="P240" s="97">
        <v>46003</v>
      </c>
      <c r="Q240" s="175">
        <v>1029.5</v>
      </c>
      <c r="R240" s="102">
        <f t="shared" si="17"/>
        <v>1.6388587224800188E-2</v>
      </c>
      <c r="T240" s="97">
        <v>46003</v>
      </c>
      <c r="U240" s="175">
        <v>41.61</v>
      </c>
      <c r="V240" s="102">
        <f t="shared" si="19"/>
        <v>2.2609977881543397E-2</v>
      </c>
      <c r="X240" s="97">
        <v>46003</v>
      </c>
      <c r="Y240" s="175">
        <v>1125.5</v>
      </c>
      <c r="Z240" s="102">
        <f t="shared" si="20"/>
        <v>1.8183462999818989E-2</v>
      </c>
      <c r="AA240" s="178"/>
      <c r="AB240" s="97">
        <v>46003</v>
      </c>
      <c r="AC240" s="175">
        <v>171.89</v>
      </c>
      <c r="AD240" s="102">
        <f t="shared" si="18"/>
        <v>3.3116961173217829E-2</v>
      </c>
    </row>
    <row r="241" spans="2:30" x14ac:dyDescent="0.3">
      <c r="B241" s="52" t="s">
        <v>893</v>
      </c>
      <c r="C241" s="52" t="s">
        <v>894</v>
      </c>
      <c r="D241" s="97">
        <v>46006</v>
      </c>
      <c r="E241" s="175">
        <v>132.31</v>
      </c>
      <c r="F241" s="102">
        <f t="shared" si="15"/>
        <v>3.1084154662623931E-3</v>
      </c>
      <c r="H241" s="97">
        <v>46006</v>
      </c>
      <c r="I241" s="175">
        <v>26027.3</v>
      </c>
      <c r="J241" s="102">
        <f t="shared" si="16"/>
        <v>-7.5440694591888402E-4</v>
      </c>
      <c r="P241" s="97">
        <v>46006</v>
      </c>
      <c r="Q241" s="175">
        <v>1034</v>
      </c>
      <c r="R241" s="102">
        <f t="shared" si="17"/>
        <v>4.3710539096648571E-3</v>
      </c>
      <c r="T241" s="97">
        <v>46006</v>
      </c>
      <c r="U241" s="175">
        <v>41.09</v>
      </c>
      <c r="V241" s="102">
        <f t="shared" si="19"/>
        <v>-1.2496995914443532E-2</v>
      </c>
      <c r="X241" s="97">
        <v>46006</v>
      </c>
      <c r="Y241" s="175">
        <v>1114.8</v>
      </c>
      <c r="Z241" s="102">
        <f t="shared" si="20"/>
        <v>-9.5068858285206614E-3</v>
      </c>
      <c r="AA241" s="178"/>
      <c r="AB241" s="97">
        <v>46006</v>
      </c>
      <c r="AC241" s="175">
        <v>172.87</v>
      </c>
      <c r="AD241" s="102">
        <f t="shared" si="18"/>
        <v>5.7013206120193338E-3</v>
      </c>
    </row>
    <row r="242" spans="2:30" x14ac:dyDescent="0.3">
      <c r="B242" s="52" t="s">
        <v>893</v>
      </c>
      <c r="C242" s="52" t="s">
        <v>894</v>
      </c>
      <c r="D242" s="97">
        <v>46007</v>
      </c>
      <c r="E242" s="175">
        <v>129.68</v>
      </c>
      <c r="F242" s="102">
        <f t="shared" si="15"/>
        <v>-1.987756027511145E-2</v>
      </c>
      <c r="H242" s="97">
        <v>46007</v>
      </c>
      <c r="I242" s="175">
        <v>25860.1</v>
      </c>
      <c r="J242" s="102">
        <f t="shared" si="16"/>
        <v>-6.4240240055634112E-3</v>
      </c>
      <c r="P242" s="97">
        <v>46007</v>
      </c>
      <c r="Q242" s="175">
        <v>1011.2</v>
      </c>
      <c r="R242" s="102">
        <f t="shared" si="17"/>
        <v>-2.20502901353965E-2</v>
      </c>
      <c r="T242" s="97">
        <v>46007</v>
      </c>
      <c r="U242" s="175">
        <v>40.35</v>
      </c>
      <c r="V242" s="102">
        <f t="shared" si="19"/>
        <v>-1.8009247992212263E-2</v>
      </c>
      <c r="X242" s="97">
        <v>46007</v>
      </c>
      <c r="Y242" s="175">
        <v>1082.5999999999999</v>
      </c>
      <c r="Z242" s="102">
        <f t="shared" si="20"/>
        <v>-2.8884104772156527E-2</v>
      </c>
      <c r="AA242" s="178"/>
      <c r="AB242" s="97">
        <v>46007</v>
      </c>
      <c r="AC242" s="175">
        <v>169.83</v>
      </c>
      <c r="AD242" s="102">
        <f t="shared" si="18"/>
        <v>-1.7585468849424357E-2</v>
      </c>
    </row>
    <row r="243" spans="2:30" x14ac:dyDescent="0.3">
      <c r="B243" s="52" t="s">
        <v>893</v>
      </c>
      <c r="C243" s="52" t="s">
        <v>894</v>
      </c>
      <c r="D243" s="97">
        <v>46008</v>
      </c>
      <c r="E243" s="175">
        <v>130.19999999999999</v>
      </c>
      <c r="F243" s="102">
        <f t="shared" si="15"/>
        <v>4.0098704503390703E-3</v>
      </c>
      <c r="H243" s="97">
        <v>46008</v>
      </c>
      <c r="I243" s="175">
        <v>25818.55</v>
      </c>
      <c r="J243" s="102">
        <f t="shared" si="16"/>
        <v>-1.6067223251263751E-3</v>
      </c>
      <c r="P243" s="97">
        <v>46008</v>
      </c>
      <c r="Q243" s="175">
        <v>1001.5</v>
      </c>
      <c r="R243" s="102">
        <f t="shared" si="17"/>
        <v>-9.5925632911393333E-3</v>
      </c>
      <c r="T243" s="97">
        <v>46008</v>
      </c>
      <c r="U243" s="175">
        <v>39.83</v>
      </c>
      <c r="V243" s="102">
        <f t="shared" si="19"/>
        <v>-1.2887236679058334E-2</v>
      </c>
      <c r="X243" s="97">
        <v>46008</v>
      </c>
      <c r="Y243" s="175">
        <v>1079.3</v>
      </c>
      <c r="Z243" s="102">
        <f t="shared" si="20"/>
        <v>-3.048217254757013E-3</v>
      </c>
      <c r="AA243" s="178"/>
      <c r="AB243" s="97">
        <v>46008</v>
      </c>
      <c r="AC243" s="175">
        <v>170.34</v>
      </c>
      <c r="AD243" s="102">
        <f t="shared" si="18"/>
        <v>3.0030030030030463E-3</v>
      </c>
    </row>
    <row r="244" spans="2:30" x14ac:dyDescent="0.3">
      <c r="B244" s="52" t="s">
        <v>893</v>
      </c>
      <c r="C244" s="52" t="s">
        <v>894</v>
      </c>
      <c r="D244" s="97">
        <v>46009</v>
      </c>
      <c r="E244" s="175">
        <v>127.27</v>
      </c>
      <c r="F244" s="102">
        <f t="shared" si="15"/>
        <v>-2.2503840245775675E-2</v>
      </c>
      <c r="H244" s="97">
        <v>46009</v>
      </c>
      <c r="I244" s="175">
        <v>25815.55</v>
      </c>
      <c r="J244" s="102">
        <f t="shared" si="16"/>
        <v>-1.1619552608488348E-4</v>
      </c>
      <c r="P244" s="97">
        <v>46009</v>
      </c>
      <c r="Q244" s="175">
        <v>986</v>
      </c>
      <c r="R244" s="102">
        <f t="shared" si="17"/>
        <v>-1.5476784822765821E-2</v>
      </c>
      <c r="T244" s="97">
        <v>46009</v>
      </c>
      <c r="U244" s="175">
        <v>39.68</v>
      </c>
      <c r="V244" s="102">
        <f t="shared" si="19"/>
        <v>-3.7660055234747247E-3</v>
      </c>
      <c r="X244" s="97">
        <v>46009</v>
      </c>
      <c r="Y244" s="175">
        <v>1082.2</v>
      </c>
      <c r="Z244" s="102">
        <f t="shared" si="20"/>
        <v>2.6869267117577422E-3</v>
      </c>
      <c r="AA244" s="178"/>
      <c r="AB244" s="97">
        <v>46009</v>
      </c>
      <c r="AC244" s="175">
        <v>168.12</v>
      </c>
      <c r="AD244" s="102">
        <f t="shared" si="18"/>
        <v>-1.3032758013384993E-2</v>
      </c>
    </row>
    <row r="245" spans="2:30" x14ac:dyDescent="0.3">
      <c r="B245" s="52" t="s">
        <v>893</v>
      </c>
      <c r="C245" s="52" t="s">
        <v>894</v>
      </c>
      <c r="D245" s="97">
        <v>46010</v>
      </c>
      <c r="E245" s="175">
        <v>125.91</v>
      </c>
      <c r="F245" s="102">
        <f t="shared" si="15"/>
        <v>-1.0685943270212883E-2</v>
      </c>
      <c r="H245" s="97">
        <v>46010</v>
      </c>
      <c r="I245" s="175">
        <v>25966.400000000001</v>
      </c>
      <c r="J245" s="102">
        <f t="shared" si="16"/>
        <v>5.8433773442752024E-3</v>
      </c>
      <c r="P245" s="97">
        <v>46010</v>
      </c>
      <c r="Q245" s="175">
        <v>992.6</v>
      </c>
      <c r="R245" s="102">
        <f t="shared" si="17"/>
        <v>6.6937119675456458E-3</v>
      </c>
      <c r="T245" s="97">
        <v>46010</v>
      </c>
      <c r="U245" s="175">
        <v>40.11</v>
      </c>
      <c r="V245" s="102">
        <f t="shared" si="19"/>
        <v>1.0836693548387011E-2</v>
      </c>
      <c r="X245" s="97">
        <v>46010</v>
      </c>
      <c r="Y245" s="175">
        <v>1079.5999999999999</v>
      </c>
      <c r="Z245" s="102">
        <f t="shared" si="20"/>
        <v>-2.4025133986325109E-3</v>
      </c>
      <c r="AA245" s="178"/>
      <c r="AB245" s="97">
        <v>46010</v>
      </c>
      <c r="AC245" s="175">
        <v>168.69</v>
      </c>
      <c r="AD245" s="102">
        <f t="shared" si="18"/>
        <v>3.3904354032834316E-3</v>
      </c>
    </row>
    <row r="246" spans="2:30" x14ac:dyDescent="0.3">
      <c r="B246" s="52" t="s">
        <v>893</v>
      </c>
      <c r="C246" s="52" t="s">
        <v>894</v>
      </c>
      <c r="D246" s="97">
        <v>46013</v>
      </c>
      <c r="E246" s="175">
        <v>130.06</v>
      </c>
      <c r="F246" s="102">
        <f t="shared" si="15"/>
        <v>3.2960050829957899E-2</v>
      </c>
      <c r="H246" s="97">
        <v>46013</v>
      </c>
      <c r="I246" s="175">
        <v>26172.400000000001</v>
      </c>
      <c r="J246" s="102">
        <f t="shared" si="16"/>
        <v>7.9333292254606391E-3</v>
      </c>
      <c r="P246" s="97">
        <v>46013</v>
      </c>
      <c r="Q246" s="175">
        <v>1002.1</v>
      </c>
      <c r="R246" s="102">
        <f t="shared" si="17"/>
        <v>9.5708240983276571E-3</v>
      </c>
      <c r="T246" s="97">
        <v>46013</v>
      </c>
      <c r="U246" s="175">
        <v>40.29</v>
      </c>
      <c r="V246" s="102">
        <f t="shared" si="19"/>
        <v>4.4876589379208021E-3</v>
      </c>
      <c r="X246" s="97">
        <v>46013</v>
      </c>
      <c r="Y246" s="175">
        <v>1094.9000000000001</v>
      </c>
      <c r="Z246" s="102">
        <f t="shared" si="20"/>
        <v>1.417191552426833E-2</v>
      </c>
      <c r="AA246" s="178"/>
      <c r="AB246" s="97">
        <v>46013</v>
      </c>
      <c r="AC246" s="175">
        <v>169.22</v>
      </c>
      <c r="AD246" s="102">
        <f t="shared" si="18"/>
        <v>3.1418578457524937E-3</v>
      </c>
    </row>
    <row r="247" spans="2:30" x14ac:dyDescent="0.3">
      <c r="B247" s="52" t="s">
        <v>893</v>
      </c>
      <c r="C247" s="52" t="s">
        <v>894</v>
      </c>
      <c r="D247" s="97">
        <v>46014</v>
      </c>
      <c r="E247" s="175">
        <v>132.71</v>
      </c>
      <c r="F247" s="102">
        <f t="shared" si="15"/>
        <v>2.0375211440873509E-2</v>
      </c>
      <c r="H247" s="97">
        <v>46014</v>
      </c>
      <c r="I247" s="175">
        <v>26177.15</v>
      </c>
      <c r="J247" s="102">
        <f t="shared" si="16"/>
        <v>1.8148889670044355E-4</v>
      </c>
      <c r="P247" s="97">
        <v>46014</v>
      </c>
      <c r="Q247" s="175">
        <v>1012.6</v>
      </c>
      <c r="R247" s="102">
        <f t="shared" si="17"/>
        <v>1.0477996207963303E-2</v>
      </c>
      <c r="T247" s="97">
        <v>46014</v>
      </c>
      <c r="U247" s="175">
        <v>41.6</v>
      </c>
      <c r="V247" s="102">
        <f t="shared" si="19"/>
        <v>3.2514271531397521E-2</v>
      </c>
      <c r="X247" s="97">
        <v>46014</v>
      </c>
      <c r="Y247" s="175">
        <v>1096.8</v>
      </c>
      <c r="Z247" s="102">
        <f t="shared" si="20"/>
        <v>1.7353182939079392E-3</v>
      </c>
      <c r="AA247" s="178"/>
      <c r="AB247" s="97">
        <v>46014</v>
      </c>
      <c r="AC247" s="175">
        <v>170.9</v>
      </c>
      <c r="AD247" s="102">
        <f t="shared" si="18"/>
        <v>9.9279045030138402E-3</v>
      </c>
    </row>
    <row r="248" spans="2:30" x14ac:dyDescent="0.3">
      <c r="B248" s="52" t="s">
        <v>893</v>
      </c>
      <c r="C248" s="52" t="s">
        <v>894</v>
      </c>
      <c r="D248" s="97">
        <v>46015</v>
      </c>
      <c r="E248" s="175">
        <v>131.85</v>
      </c>
      <c r="F248" s="102">
        <f t="shared" si="15"/>
        <v>-6.4802953809058872E-3</v>
      </c>
      <c r="H248" s="97">
        <v>46015</v>
      </c>
      <c r="I248" s="175">
        <v>26142.1</v>
      </c>
      <c r="J248" s="102">
        <f t="shared" si="16"/>
        <v>-1.3389540114184806E-3</v>
      </c>
      <c r="P248" s="97">
        <v>46015</v>
      </c>
      <c r="Q248" s="175">
        <v>999</v>
      </c>
      <c r="R248" s="102">
        <f t="shared" si="17"/>
        <v>-1.3430772269405478E-2</v>
      </c>
      <c r="T248" s="97">
        <v>46015</v>
      </c>
      <c r="U248" s="175">
        <v>41.51</v>
      </c>
      <c r="V248" s="102">
        <f t="shared" si="19"/>
        <v>-2.1634615384615863E-3</v>
      </c>
      <c r="X248" s="97">
        <v>46015</v>
      </c>
      <c r="Y248" s="175">
        <v>1091.3</v>
      </c>
      <c r="Z248" s="102">
        <f t="shared" si="20"/>
        <v>-5.0145878920495601E-3</v>
      </c>
      <c r="AA248" s="178"/>
      <c r="AB248" s="97">
        <v>46015</v>
      </c>
      <c r="AC248" s="175">
        <v>170.07</v>
      </c>
      <c r="AD248" s="102">
        <f t="shared" si="18"/>
        <v>-4.8566413107080653E-3</v>
      </c>
    </row>
    <row r="249" spans="2:30" x14ac:dyDescent="0.3">
      <c r="B249" s="52" t="s">
        <v>893</v>
      </c>
      <c r="C249" s="52" t="s">
        <v>894</v>
      </c>
      <c r="D249" s="97">
        <v>46017</v>
      </c>
      <c r="E249" s="175">
        <v>132.32</v>
      </c>
      <c r="F249" s="102">
        <f t="shared" si="15"/>
        <v>3.5646568069775952E-3</v>
      </c>
      <c r="H249" s="97">
        <v>46017</v>
      </c>
      <c r="I249" s="175">
        <v>26042.3</v>
      </c>
      <c r="J249" s="102">
        <f t="shared" si="16"/>
        <v>-3.8175969030797008E-3</v>
      </c>
      <c r="P249" s="97">
        <v>46017</v>
      </c>
      <c r="Q249" s="175">
        <v>986.5</v>
      </c>
      <c r="R249" s="102">
        <f t="shared" si="17"/>
        <v>-1.2512512512512508E-2</v>
      </c>
      <c r="T249" s="97">
        <v>46017</v>
      </c>
      <c r="U249" s="175">
        <v>41.65</v>
      </c>
      <c r="V249" s="102">
        <f t="shared" si="19"/>
        <v>3.3726812816188279E-3</v>
      </c>
      <c r="X249" s="97">
        <v>46017</v>
      </c>
      <c r="Y249" s="175">
        <v>1094.4000000000001</v>
      </c>
      <c r="Z249" s="102">
        <f t="shared" si="20"/>
        <v>2.8406487675249892E-3</v>
      </c>
      <c r="AA249" s="178"/>
      <c r="AB249" s="97">
        <v>46017</v>
      </c>
      <c r="AC249" s="175">
        <v>169.12</v>
      </c>
      <c r="AD249" s="102">
        <f t="shared" si="18"/>
        <v>-5.5859352031515375E-3</v>
      </c>
    </row>
    <row r="250" spans="2:30" x14ac:dyDescent="0.3">
      <c r="B250" s="52" t="s">
        <v>893</v>
      </c>
      <c r="C250" s="52" t="s">
        <v>894</v>
      </c>
      <c r="D250" s="97">
        <v>46020</v>
      </c>
      <c r="E250" s="175">
        <v>134.09</v>
      </c>
      <c r="F250" s="102">
        <f t="shared" si="15"/>
        <v>1.3376662636033876E-2</v>
      </c>
      <c r="H250" s="97">
        <v>46020</v>
      </c>
      <c r="I250" s="175">
        <v>25942.1</v>
      </c>
      <c r="J250" s="102">
        <f t="shared" si="16"/>
        <v>-3.8475864266981352E-3</v>
      </c>
      <c r="P250" s="97">
        <v>46020</v>
      </c>
      <c r="Q250" s="175">
        <v>990.5</v>
      </c>
      <c r="R250" s="102">
        <f t="shared" si="17"/>
        <v>4.0547389761784736E-3</v>
      </c>
      <c r="T250" s="97">
        <v>46020</v>
      </c>
      <c r="U250" s="175">
        <v>41.79</v>
      </c>
      <c r="V250" s="102">
        <f t="shared" si="19"/>
        <v>3.3613445378151141E-3</v>
      </c>
      <c r="X250" s="97">
        <v>46020</v>
      </c>
      <c r="Y250" s="175">
        <v>1092.5999999999999</v>
      </c>
      <c r="Z250" s="102">
        <f t="shared" si="20"/>
        <v>-1.6447368421054209E-3</v>
      </c>
      <c r="AA250" s="178"/>
      <c r="AB250" s="97">
        <v>46020</v>
      </c>
      <c r="AC250" s="175">
        <v>172.3</v>
      </c>
      <c r="AD250" s="102">
        <f t="shared" si="18"/>
        <v>1.8803216650898902E-2</v>
      </c>
    </row>
    <row r="251" spans="2:30" x14ac:dyDescent="0.3">
      <c r="B251" s="52" t="s">
        <v>893</v>
      </c>
      <c r="C251" s="52" t="s">
        <v>894</v>
      </c>
      <c r="D251" s="97">
        <v>46021</v>
      </c>
      <c r="E251" s="175">
        <v>141.02000000000001</v>
      </c>
      <c r="F251" s="102">
        <f t="shared" si="15"/>
        <v>5.1681706316653031E-2</v>
      </c>
      <c r="H251" s="97">
        <v>46021</v>
      </c>
      <c r="I251" s="175">
        <v>25938.85</v>
      </c>
      <c r="J251" s="102">
        <f t="shared" si="16"/>
        <v>-1.2527898666647719E-4</v>
      </c>
      <c r="P251" s="97">
        <v>46021</v>
      </c>
      <c r="Q251" s="175">
        <v>1021.3</v>
      </c>
      <c r="R251" s="102">
        <f t="shared" si="17"/>
        <v>3.1095406360424072E-2</v>
      </c>
      <c r="T251" s="97">
        <v>46021</v>
      </c>
      <c r="U251" s="175">
        <v>43.27</v>
      </c>
      <c r="V251" s="102">
        <f t="shared" si="19"/>
        <v>3.5415171093563069E-2</v>
      </c>
      <c r="X251" s="97">
        <v>46021</v>
      </c>
      <c r="Y251" s="175">
        <v>1111.5999999999999</v>
      </c>
      <c r="Z251" s="102">
        <f t="shared" si="20"/>
        <v>1.7389712612117858E-2</v>
      </c>
      <c r="AA251" s="178"/>
      <c r="AB251" s="97">
        <v>46021</v>
      </c>
      <c r="AC251" s="175">
        <v>175.8</v>
      </c>
      <c r="AD251" s="102">
        <f t="shared" si="18"/>
        <v>2.031340684852001E-2</v>
      </c>
    </row>
    <row r="252" spans="2:30" x14ac:dyDescent="0.3">
      <c r="B252" s="52" t="s">
        <v>893</v>
      </c>
      <c r="C252" s="52" t="s">
        <v>894</v>
      </c>
      <c r="D252" s="97">
        <v>46022</v>
      </c>
      <c r="E252" s="175">
        <v>146.99</v>
      </c>
      <c r="F252" s="102">
        <f t="shared" si="15"/>
        <v>4.2334420649553284E-2</v>
      </c>
      <c r="H252" s="97">
        <v>46022</v>
      </c>
      <c r="I252" s="175">
        <v>26129.599999999999</v>
      </c>
      <c r="J252" s="102">
        <f t="shared" si="16"/>
        <v>7.3538341136942798E-3</v>
      </c>
      <c r="P252" s="97">
        <v>46022</v>
      </c>
      <c r="Q252" s="175">
        <v>1053.8</v>
      </c>
      <c r="R252" s="102">
        <f t="shared" si="17"/>
        <v>3.1822187408205194E-2</v>
      </c>
      <c r="T252" s="97">
        <v>46022</v>
      </c>
      <c r="U252" s="175">
        <v>44.25</v>
      </c>
      <c r="V252" s="102">
        <f t="shared" si="19"/>
        <v>2.2648486249133182E-2</v>
      </c>
      <c r="X252" s="97">
        <v>46022</v>
      </c>
      <c r="Y252" s="175">
        <v>1164.8</v>
      </c>
      <c r="Z252" s="102">
        <f t="shared" si="20"/>
        <v>4.7858942065491128E-2</v>
      </c>
      <c r="AA252" s="178"/>
      <c r="AB252" s="97">
        <v>46022</v>
      </c>
      <c r="AC252" s="175">
        <v>180.08</v>
      </c>
      <c r="AD252" s="102">
        <f t="shared" si="18"/>
        <v>2.4345847554038791E-2</v>
      </c>
    </row>
    <row r="253" spans="2:30" x14ac:dyDescent="0.3">
      <c r="AA253" s="178"/>
      <c r="AB253" s="97"/>
      <c r="AC253" s="175"/>
      <c r="AD253" s="102"/>
    </row>
    <row r="254" spans="2:30" x14ac:dyDescent="0.3">
      <c r="Z254" s="102"/>
      <c r="AA254" s="178"/>
    </row>
    <row r="255" spans="2:30" x14ac:dyDescent="0.3">
      <c r="Z255" s="102"/>
      <c r="AA255" s="178"/>
    </row>
    <row r="256" spans="2:30" x14ac:dyDescent="0.3">
      <c r="Z256" s="102"/>
      <c r="AA256" s="178"/>
    </row>
    <row r="257" spans="26:27" x14ac:dyDescent="0.3">
      <c r="Z257" s="102"/>
      <c r="AA257" s="178"/>
    </row>
    <row r="258" spans="26:27" x14ac:dyDescent="0.3">
      <c r="Z258" s="102"/>
      <c r="AA258" s="178"/>
    </row>
    <row r="259" spans="26:27" x14ac:dyDescent="0.3">
      <c r="Z259" s="102"/>
      <c r="AA259" s="178"/>
    </row>
    <row r="260" spans="26:27" x14ac:dyDescent="0.3">
      <c r="Z260" s="102"/>
      <c r="AA260" s="178"/>
    </row>
    <row r="261" spans="26:27" x14ac:dyDescent="0.3">
      <c r="Z261" s="102"/>
      <c r="AA261" s="178"/>
    </row>
    <row r="262" spans="26:27" x14ac:dyDescent="0.3">
      <c r="Z262" s="102"/>
      <c r="AA262" s="178"/>
    </row>
    <row r="263" spans="26:27" x14ac:dyDescent="0.3">
      <c r="Z263" s="102"/>
      <c r="AA263" s="178"/>
    </row>
  </sheetData>
  <sortState xmlns:xlrd2="http://schemas.microsoft.com/office/spreadsheetml/2017/richdata2" ref="H4:I253">
    <sortCondition ref="H3:H253"/>
  </sortState>
  <mergeCells count="10">
    <mergeCell ref="AB2:AC2"/>
    <mergeCell ref="L19:M19"/>
    <mergeCell ref="L15:M15"/>
    <mergeCell ref="L11:M11"/>
    <mergeCell ref="L24:M24"/>
    <mergeCell ref="B2:E2"/>
    <mergeCell ref="H2:I2"/>
    <mergeCell ref="P2:Q2"/>
    <mergeCell ref="T2:U2"/>
    <mergeCell ref="X2:Y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65"/>
  <sheetViews>
    <sheetView showGridLines="0" tabSelected="1" topLeftCell="A44" workbookViewId="0">
      <selection activeCell="C39" sqref="C39"/>
    </sheetView>
  </sheetViews>
  <sheetFormatPr defaultRowHeight="14.4" x14ac:dyDescent="0.3"/>
  <cols>
    <col min="1" max="1" width="1.88671875" style="52" customWidth="1"/>
    <col min="2" max="2" width="32.109375" style="52" bestFit="1" customWidth="1"/>
    <col min="3" max="3" width="20.88671875" style="52" bestFit="1" customWidth="1"/>
    <col min="4" max="4" width="16.33203125" style="52" customWidth="1"/>
    <col min="5" max="6" width="10.5546875" style="52" customWidth="1"/>
    <col min="7" max="7" width="10.44140625" style="52" customWidth="1"/>
    <col min="9" max="9" width="14" style="52" customWidth="1"/>
    <col min="10" max="10" width="13.44140625" style="52" customWidth="1"/>
    <col min="11" max="11" width="17.33203125" style="52" bestFit="1" customWidth="1"/>
  </cols>
  <sheetData>
    <row r="1" spans="2:15" ht="16.8" customHeight="1" x14ac:dyDescent="0.3">
      <c r="B1" s="152" t="s">
        <v>817</v>
      </c>
      <c r="C1" s="149"/>
      <c r="D1" s="149"/>
      <c r="E1" s="149"/>
      <c r="F1" s="149"/>
      <c r="G1" s="149"/>
      <c r="H1" s="149"/>
      <c r="I1" s="149"/>
    </row>
    <row r="3" spans="2:15" x14ac:dyDescent="0.3">
      <c r="B3" s="48" t="s">
        <v>819</v>
      </c>
    </row>
    <row r="4" spans="2:15" x14ac:dyDescent="0.3">
      <c r="B4" s="12"/>
      <c r="C4" s="12"/>
      <c r="D4" s="170" t="s">
        <v>3</v>
      </c>
      <c r="E4" s="167"/>
      <c r="F4" s="12"/>
      <c r="G4" s="12"/>
      <c r="I4" s="170" t="s">
        <v>3</v>
      </c>
      <c r="J4" s="167"/>
      <c r="K4" s="167"/>
    </row>
    <row r="5" spans="2:15" ht="16.2" customHeight="1" x14ac:dyDescent="0.3">
      <c r="B5" s="14" t="s">
        <v>825</v>
      </c>
      <c r="C5" s="14" t="s">
        <v>826</v>
      </c>
      <c r="D5" s="14" t="s">
        <v>37</v>
      </c>
      <c r="E5" s="14" t="s">
        <v>827</v>
      </c>
      <c r="F5" s="14" t="s">
        <v>860</v>
      </c>
      <c r="G5" s="14" t="s">
        <v>828</v>
      </c>
      <c r="I5" s="14" t="s">
        <v>37</v>
      </c>
      <c r="J5" s="14" t="s">
        <v>827</v>
      </c>
      <c r="K5" s="14" t="s">
        <v>860</v>
      </c>
    </row>
    <row r="6" spans="2:15" x14ac:dyDescent="0.3">
      <c r="B6" s="16" t="s">
        <v>817</v>
      </c>
      <c r="C6" s="16" t="s">
        <v>832</v>
      </c>
      <c r="D6" s="17">
        <f>IFERROR(SUM('Consolidated Balance Sheet'!B35:B36),0)</f>
        <v>58905.61</v>
      </c>
      <c r="E6" s="17">
        <f>IFERROR(SUM('Consolidated Balance Sheet'!B40,'Consolidated Balance Sheet'!B50,'Consolidated Balance Sheet'!B41,'Consolidated Balance Sheet'!B51),0)</f>
        <v>36933.94</v>
      </c>
      <c r="F6" s="17">
        <f>IFERROR(SUM('Consolidated Balance Sheet'!B23,'Consolidated Balance Sheet'!B24),0)</f>
        <v>966.87999999999988</v>
      </c>
      <c r="G6" s="18">
        <v>0.3</v>
      </c>
      <c r="I6" s="17">
        <f>IFERROR(SUM('Consolidated Balance Sheet'!C35:C36),0)</f>
        <v>57101.22</v>
      </c>
      <c r="J6" s="17">
        <f>IFERROR(SUM('Consolidated Balance Sheet'!C40,'Consolidated Balance Sheet'!C41,'Consolidated Balance Sheet'!C50,'Consolidated Balance Sheet'!C51),0)</f>
        <v>36322.65</v>
      </c>
      <c r="K6" s="17">
        <f>IFERROR(SUM('Consolidated Balance Sheet'!C23,'Consolidated Balance Sheet'!C24),0)</f>
        <v>672.95</v>
      </c>
      <c r="O6" t="s">
        <v>820</v>
      </c>
    </row>
    <row r="7" spans="2:15" x14ac:dyDescent="0.3">
      <c r="B7" s="49"/>
      <c r="C7" s="49"/>
      <c r="D7" s="17"/>
      <c r="E7" s="17"/>
      <c r="F7" s="17"/>
      <c r="G7" s="51"/>
      <c r="I7" s="17"/>
      <c r="J7" s="17"/>
      <c r="K7" s="17"/>
    </row>
    <row r="8" spans="2:15" x14ac:dyDescent="0.3">
      <c r="B8" s="49"/>
      <c r="C8" s="49"/>
      <c r="D8" s="17"/>
      <c r="E8" s="17"/>
      <c r="F8" s="17"/>
      <c r="G8" s="51"/>
      <c r="I8" s="17"/>
      <c r="J8" s="17"/>
      <c r="K8" s="17"/>
    </row>
    <row r="9" spans="2:15" x14ac:dyDescent="0.3">
      <c r="B9" s="49"/>
      <c r="C9" s="49"/>
      <c r="D9" s="171" t="s">
        <v>820</v>
      </c>
      <c r="E9" s="172"/>
      <c r="F9" s="62"/>
      <c r="G9" s="14"/>
      <c r="I9" s="171" t="s">
        <v>820</v>
      </c>
      <c r="J9" s="172"/>
      <c r="K9" s="62"/>
    </row>
    <row r="10" spans="2:15" x14ac:dyDescent="0.3">
      <c r="B10" s="166" t="s">
        <v>835</v>
      </c>
      <c r="C10" s="167"/>
      <c r="D10" s="22">
        <f>SUM(D6:E6)</f>
        <v>95839.55</v>
      </c>
      <c r="E10" s="12"/>
      <c r="I10" s="166" t="s">
        <v>835</v>
      </c>
      <c r="J10" s="167"/>
      <c r="K10" s="22">
        <f>SUM(I6:J6)</f>
        <v>93423.87</v>
      </c>
    </row>
    <row r="11" spans="2:15" x14ac:dyDescent="0.3">
      <c r="B11" s="54"/>
      <c r="C11" s="55" t="s">
        <v>3</v>
      </c>
      <c r="D11" s="55" t="s">
        <v>4</v>
      </c>
    </row>
    <row r="12" spans="2:15" x14ac:dyDescent="0.3">
      <c r="B12" s="11" t="s">
        <v>838</v>
      </c>
      <c r="K12" s="116" t="s">
        <v>916</v>
      </c>
      <c r="L12" s="116" t="s">
        <v>917</v>
      </c>
    </row>
    <row r="13" spans="2:15" x14ac:dyDescent="0.3">
      <c r="B13" s="50" t="s">
        <v>861</v>
      </c>
      <c r="C13" s="17">
        <f>IFERROR(SUM('Consolidated Income Statement'!B19+'Consolidated Income Statement'!B14),0)</f>
        <v>5870.560000000014</v>
      </c>
      <c r="D13" s="17">
        <f>IFERROR(SUM('Consolidated Income Statement'!C19+'Consolidated Income Statement'!C14),0)</f>
        <v>6937.9000000000087</v>
      </c>
      <c r="E13" t="s">
        <v>820</v>
      </c>
      <c r="K13" s="117" t="s">
        <v>918</v>
      </c>
      <c r="L13" s="140">
        <v>0</v>
      </c>
    </row>
    <row r="14" spans="2:15" x14ac:dyDescent="0.3">
      <c r="B14" s="50" t="s">
        <v>862</v>
      </c>
      <c r="C14" s="17">
        <f>IFERROR(C13*(1-$G$6),0)</f>
        <v>4109.3920000000098</v>
      </c>
      <c r="D14" s="17">
        <f>IFERROR(D13*(1-$G$6),0)</f>
        <v>4856.5300000000061</v>
      </c>
      <c r="K14" s="117" t="s">
        <v>919</v>
      </c>
      <c r="L14" s="117" t="s">
        <v>944</v>
      </c>
    </row>
    <row r="15" spans="2:15" x14ac:dyDescent="0.3">
      <c r="B15" t="s">
        <v>863</v>
      </c>
      <c r="C15" s="17">
        <f>IFERROR(D10-F6,0)</f>
        <v>94872.67</v>
      </c>
      <c r="D15" s="17">
        <f>IFERROR(K10-K6,0)</f>
        <v>92750.92</v>
      </c>
      <c r="G15" s="61"/>
      <c r="K15" s="117" t="s">
        <v>920</v>
      </c>
      <c r="L15" s="117" t="s">
        <v>945</v>
      </c>
    </row>
    <row r="16" spans="2:15" x14ac:dyDescent="0.3">
      <c r="B16" s="56" t="s">
        <v>864</v>
      </c>
      <c r="C16" s="57">
        <f>IFERROR(C14/C15,0)</f>
        <v>4.3314813423086018E-2</v>
      </c>
      <c r="D16" s="57">
        <f>IFERROR(D14/D15,0)</f>
        <v>5.2360990058104073E-2</v>
      </c>
    </row>
    <row r="17" spans="2:15" x14ac:dyDescent="0.3">
      <c r="B17" s="11" t="s">
        <v>865</v>
      </c>
      <c r="C17" s="17"/>
      <c r="K17" s="124" t="s">
        <v>932</v>
      </c>
    </row>
    <row r="18" spans="2:15" x14ac:dyDescent="0.3">
      <c r="B18" t="s">
        <v>866</v>
      </c>
      <c r="C18" s="17">
        <f>IFERROR(SUM('Consolidated Balance Sheet'!B6,'Consolidated Balance Sheet'!B7,'Consolidated Balance Sheet'!B8),0)</f>
        <v>79106.180000000008</v>
      </c>
      <c r="D18" s="17">
        <f>IFERROR(SUM('Consolidated Balance Sheet'!C6,'Consolidated Balance Sheet'!C7,'Consolidated Balance Sheet'!C8),0)</f>
        <v>77076.83</v>
      </c>
      <c r="E18" s="58" t="s">
        <v>867</v>
      </c>
      <c r="F18" s="59"/>
      <c r="G18" s="59"/>
      <c r="H18" s="48"/>
      <c r="I18" s="133"/>
      <c r="J18" s="133"/>
      <c r="K18" s="121">
        <v>4130525289</v>
      </c>
      <c r="L18" s="122" t="s">
        <v>928</v>
      </c>
      <c r="M18" s="122"/>
      <c r="N18" s="48"/>
      <c r="O18" s="133"/>
    </row>
    <row r="19" spans="2:15" x14ac:dyDescent="0.3">
      <c r="B19" t="s">
        <v>868</v>
      </c>
      <c r="C19" s="17">
        <f>IFERROR(SUM('Consolidated Balance Sheet'!B21,'Consolidated Balance Sheet'!B22,'Consolidated Balance Sheet'!B28),0)</f>
        <v>39673.339999999997</v>
      </c>
      <c r="D19" s="17">
        <f>IFERROR(SUM('Consolidated Balance Sheet'!C21,'Consolidated Balance Sheet'!C22,'Consolidated Balance Sheet'!C28),0)</f>
        <v>45619.14</v>
      </c>
      <c r="E19" s="60" t="s">
        <v>869</v>
      </c>
      <c r="F19" s="59"/>
      <c r="G19" s="59"/>
      <c r="H19" s="53"/>
      <c r="I19" s="133"/>
      <c r="J19" s="133"/>
      <c r="K19" s="122"/>
      <c r="L19" s="122"/>
      <c r="M19" s="122"/>
      <c r="N19" s="53"/>
      <c r="O19" s="133"/>
    </row>
    <row r="20" spans="2:15" x14ac:dyDescent="0.3">
      <c r="B20" t="s">
        <v>870</v>
      </c>
      <c r="C20" s="92">
        <f>IFERROR(SUM('Consolidated Balance Sheet'!B52,'Consolidated Balance Sheet'!B53,'Consolidated Balance Sheet'!B55,'Consolidated Balance Sheet'!B56),0)</f>
        <v>16091.39</v>
      </c>
      <c r="D20" s="17">
        <f>IFERROR(SUM('Consolidated Balance Sheet'!C52,'Consolidated Balance Sheet'!C53,'Consolidated Balance Sheet'!C55,'Consolidated Balance Sheet'!C56),0)</f>
        <v>21192.47</v>
      </c>
      <c r="E20" s="58" t="s">
        <v>871</v>
      </c>
      <c r="F20" s="59"/>
      <c r="G20" s="59"/>
      <c r="H20" s="48"/>
      <c r="I20" s="133"/>
      <c r="J20" s="133"/>
      <c r="K20" s="123">
        <f>K18/10000000</f>
        <v>413.05252890000003</v>
      </c>
      <c r="L20" s="122" t="s">
        <v>931</v>
      </c>
      <c r="M20" s="122"/>
      <c r="N20" s="48"/>
      <c r="O20" s="133"/>
    </row>
    <row r="21" spans="2:15" x14ac:dyDescent="0.3">
      <c r="B21" t="s">
        <v>872</v>
      </c>
      <c r="C21" s="163">
        <f>IFERROR(C18-D18,0)</f>
        <v>2029.3500000000058</v>
      </c>
      <c r="D21" s="149"/>
      <c r="E21" s="58" t="s">
        <v>880</v>
      </c>
      <c r="F21" s="59"/>
      <c r="G21" s="59"/>
      <c r="H21" s="133"/>
      <c r="I21" s="133"/>
      <c r="J21" s="133"/>
      <c r="N21" s="133"/>
      <c r="O21" s="133"/>
    </row>
    <row r="22" spans="2:15" x14ac:dyDescent="0.3">
      <c r="B22" t="s">
        <v>873</v>
      </c>
      <c r="C22" s="17">
        <f>IFERROR(C19-C20,0)</f>
        <v>23581.949999999997</v>
      </c>
      <c r="D22" s="17">
        <f>IFERROR(D19-D20,0)</f>
        <v>24426.67</v>
      </c>
      <c r="E22" s="58" t="s">
        <v>874</v>
      </c>
      <c r="F22" s="59"/>
      <c r="G22" s="59"/>
      <c r="H22" s="48"/>
      <c r="I22" s="133"/>
      <c r="J22" s="133"/>
      <c r="K22" s="141" t="s">
        <v>936</v>
      </c>
      <c r="L22" s="122"/>
      <c r="N22" s="48"/>
      <c r="O22" s="133"/>
    </row>
    <row r="23" spans="2:15" x14ac:dyDescent="0.3">
      <c r="B23" s="50" t="s">
        <v>875</v>
      </c>
      <c r="C23" s="173">
        <f>IFERROR(C22-D22,0)</f>
        <v>-844.72000000000116</v>
      </c>
      <c r="D23" s="149"/>
      <c r="E23" s="58" t="s">
        <v>876</v>
      </c>
      <c r="F23" s="59"/>
      <c r="G23" s="59"/>
      <c r="H23" s="133"/>
      <c r="I23" s="133"/>
      <c r="J23" s="133"/>
      <c r="K23" s="141" t="s">
        <v>935</v>
      </c>
      <c r="L23" s="142">
        <v>4.4999999999999998E-2</v>
      </c>
      <c r="N23" s="133"/>
      <c r="O23" s="133"/>
    </row>
    <row r="24" spans="2:15" x14ac:dyDescent="0.3">
      <c r="B24" t="s">
        <v>877</v>
      </c>
      <c r="C24" s="17">
        <f>IFERROR('Consolidated Income Statement'!B15,0)</f>
        <v>5650.68</v>
      </c>
      <c r="E24" s="58" t="s">
        <v>820</v>
      </c>
      <c r="F24" s="133"/>
      <c r="G24" s="133"/>
      <c r="H24" s="133"/>
      <c r="I24" s="133"/>
      <c r="J24" s="133"/>
      <c r="K24" s="122"/>
      <c r="L24" s="122"/>
      <c r="N24" s="133"/>
      <c r="O24" s="133"/>
    </row>
    <row r="25" spans="2:15" x14ac:dyDescent="0.3">
      <c r="B25" t="s">
        <v>878</v>
      </c>
      <c r="C25" s="17">
        <f>IFERROR(C21+(C23)-C24,0)</f>
        <v>-4466.0499999999956</v>
      </c>
      <c r="D25" s="58"/>
      <c r="E25" s="58" t="s">
        <v>879</v>
      </c>
      <c r="F25" s="60"/>
      <c r="G25" s="60"/>
      <c r="H25" s="58" t="s">
        <v>880</v>
      </c>
      <c r="I25" s="133"/>
      <c r="J25" s="133"/>
      <c r="K25" s="141" t="s">
        <v>937</v>
      </c>
      <c r="L25" s="122"/>
      <c r="N25" s="58" t="s">
        <v>820</v>
      </c>
      <c r="O25" s="133"/>
    </row>
    <row r="26" spans="2:15" x14ac:dyDescent="0.3">
      <c r="B26" s="56" t="s">
        <v>881</v>
      </c>
      <c r="C26" s="57">
        <f>IFERROR(C25/C14,0)</f>
        <v>-1.0867909413363304</v>
      </c>
      <c r="D26" s="56"/>
      <c r="K26" s="122" t="s">
        <v>938</v>
      </c>
      <c r="L26" s="142">
        <v>0.05</v>
      </c>
    </row>
    <row r="27" spans="2:15" x14ac:dyDescent="0.3">
      <c r="K27" s="122"/>
      <c r="L27" s="122"/>
    </row>
    <row r="28" spans="2:15" x14ac:dyDescent="0.3">
      <c r="B28" s="169" t="s">
        <v>882</v>
      </c>
      <c r="C28" s="149"/>
      <c r="K28" s="141" t="s">
        <v>939</v>
      </c>
      <c r="L28" s="122"/>
    </row>
    <row r="29" spans="2:15" x14ac:dyDescent="0.3">
      <c r="B29" s="131" t="s">
        <v>859</v>
      </c>
      <c r="C29" s="132">
        <f>C16*C26</f>
        <v>-4.707414685388317E-2</v>
      </c>
      <c r="D29" s="132">
        <v>4.7100000000000003E-2</v>
      </c>
      <c r="K29" s="122" t="s">
        <v>940</v>
      </c>
      <c r="L29" s="142">
        <v>6.5000000000000002E-2</v>
      </c>
    </row>
    <row r="31" spans="2:15" x14ac:dyDescent="0.3">
      <c r="B31" s="11" t="s">
        <v>959</v>
      </c>
    </row>
    <row r="32" spans="2:15" x14ac:dyDescent="0.3">
      <c r="B32" t="s">
        <v>884</v>
      </c>
      <c r="C32" s="17">
        <f>IFERROR('Consolidated Income Statement'!B30,0)</f>
        <v>2371.8000000000138</v>
      </c>
      <c r="D32" s="17">
        <f>IFERROR('Consolidated Income Statement'!C30,0)</f>
        <v>3066.6700000000078</v>
      </c>
    </row>
    <row r="33" spans="2:5" x14ac:dyDescent="0.3">
      <c r="B33" t="s">
        <v>877</v>
      </c>
      <c r="C33" s="17">
        <f>C24</f>
        <v>5650.68</v>
      </c>
      <c r="D33" s="17"/>
    </row>
    <row r="34" spans="2:5" x14ac:dyDescent="0.3">
      <c r="B34" s="50" t="s">
        <v>875</v>
      </c>
      <c r="C34" s="17">
        <f>C23</f>
        <v>-844.72000000000116</v>
      </c>
      <c r="D34" s="17"/>
    </row>
    <row r="35" spans="2:5" x14ac:dyDescent="0.3">
      <c r="B35" t="s">
        <v>872</v>
      </c>
      <c r="C35" s="17">
        <f>C21</f>
        <v>2029.3500000000058</v>
      </c>
      <c r="D35" s="17"/>
    </row>
    <row r="36" spans="2:5" x14ac:dyDescent="0.3">
      <c r="B36" s="52" t="s">
        <v>885</v>
      </c>
      <c r="C36" s="17">
        <f>IFERROR(SUM('Consolidated Cash Flow'!D36,'Consolidated Cash Flow'!D37,'Consolidated Cash Flow'!D38),0)</f>
        <v>-789.85</v>
      </c>
      <c r="D36" s="17">
        <f>IFERROR(SUM('Consolidated Cash Flow'!E36,'Consolidated Cash Flow'!E37,'Consolidated Cash Flow'!E38),0)</f>
        <v>4939.1900000000005</v>
      </c>
      <c r="E36" s="127" t="s">
        <v>933</v>
      </c>
    </row>
    <row r="37" spans="2:5" x14ac:dyDescent="0.3">
      <c r="B37" s="56" t="s">
        <v>883</v>
      </c>
      <c r="C37" s="96">
        <f>IFERROR(C32+C33-C35-(C34)+(C36),0)</f>
        <v>6048.0000000000091</v>
      </c>
      <c r="D37" s="96"/>
    </row>
    <row r="38" spans="2:5" ht="15.6" x14ac:dyDescent="0.35">
      <c r="B38" s="128" t="s">
        <v>941</v>
      </c>
      <c r="C38" s="129">
        <f>IFERROR(WACC!I10,0)</f>
        <v>0.14245113092291831</v>
      </c>
      <c r="D38" s="143"/>
    </row>
    <row r="39" spans="2:5" x14ac:dyDescent="0.3">
      <c r="B39" s="128" t="s">
        <v>914</v>
      </c>
      <c r="C39" s="130">
        <v>4.4999999999999998E-2</v>
      </c>
      <c r="E39" s="118" t="s">
        <v>915</v>
      </c>
    </row>
    <row r="40" spans="2:5" x14ac:dyDescent="0.3">
      <c r="B40" s="56" t="s">
        <v>946</v>
      </c>
      <c r="C40" s="56" t="s">
        <v>925</v>
      </c>
      <c r="D40" s="56" t="s">
        <v>926</v>
      </c>
      <c r="E40" s="56" t="s">
        <v>924</v>
      </c>
    </row>
    <row r="41" spans="2:5" x14ac:dyDescent="0.3">
      <c r="B41" s="115" t="s">
        <v>908</v>
      </c>
      <c r="C41" s="17">
        <f>C37</f>
        <v>6048.0000000000091</v>
      </c>
      <c r="D41" s="17">
        <f>C41*(1+C64)</f>
        <v>5670.5544969316252</v>
      </c>
      <c r="E41" s="102">
        <f>PV($C$38,5,0,-D41)</f>
        <v>2913.6499177654796</v>
      </c>
    </row>
    <row r="42" spans="2:5" x14ac:dyDescent="0.3">
      <c r="B42" s="115" t="s">
        <v>909</v>
      </c>
      <c r="C42" s="17">
        <f>D41</f>
        <v>5670.5544969316252</v>
      </c>
      <c r="D42" s="17">
        <f t="shared" ref="D42:D46" si="0">C42*(1+12%)</f>
        <v>6351.0210365634211</v>
      </c>
      <c r="E42" s="102">
        <f t="shared" ref="E42:E46" si="1">PV($C$38,5,0,-D42)</f>
        <v>3263.2879078973374</v>
      </c>
    </row>
    <row r="43" spans="2:5" x14ac:dyDescent="0.3">
      <c r="B43" s="115" t="s">
        <v>910</v>
      </c>
      <c r="C43" s="17">
        <f t="shared" ref="C43:C46" si="2">D42</f>
        <v>6351.0210365634211</v>
      </c>
      <c r="D43" s="17">
        <f t="shared" si="0"/>
        <v>7113.1435609510327</v>
      </c>
      <c r="E43" s="102">
        <f t="shared" si="1"/>
        <v>3654.8824568450186</v>
      </c>
    </row>
    <row r="44" spans="2:5" x14ac:dyDescent="0.3">
      <c r="B44" s="115" t="s">
        <v>911</v>
      </c>
      <c r="C44" s="17">
        <f t="shared" si="2"/>
        <v>7113.1435609510327</v>
      </c>
      <c r="D44" s="17">
        <f t="shared" si="0"/>
        <v>7966.7207882651574</v>
      </c>
      <c r="E44" s="102">
        <f t="shared" si="1"/>
        <v>4093.4683516664213</v>
      </c>
    </row>
    <row r="45" spans="2:5" x14ac:dyDescent="0.3">
      <c r="B45" s="115" t="s">
        <v>912</v>
      </c>
      <c r="C45" s="17">
        <f t="shared" si="2"/>
        <v>7966.7207882651574</v>
      </c>
      <c r="D45" s="17">
        <f t="shared" si="0"/>
        <v>8922.7272828569767</v>
      </c>
      <c r="E45" s="102">
        <f t="shared" si="1"/>
        <v>4584.684553866392</v>
      </c>
    </row>
    <row r="46" spans="2:5" x14ac:dyDescent="0.3">
      <c r="B46" s="115" t="s">
        <v>913</v>
      </c>
      <c r="C46" s="17">
        <f t="shared" si="2"/>
        <v>8922.7272828569767</v>
      </c>
      <c r="D46" s="17">
        <f t="shared" si="0"/>
        <v>9993.4545567998157</v>
      </c>
      <c r="E46" s="102">
        <f t="shared" si="1"/>
        <v>5134.8467003303604</v>
      </c>
    </row>
    <row r="47" spans="2:5" x14ac:dyDescent="0.3">
      <c r="E47" s="120">
        <f>SUM(E41:E46)</f>
        <v>23644.819888371007</v>
      </c>
    </row>
    <row r="48" spans="2:5" x14ac:dyDescent="0.3">
      <c r="B48" s="11" t="s">
        <v>960</v>
      </c>
      <c r="E48" s="118" t="s">
        <v>922</v>
      </c>
    </row>
    <row r="49" spans="2:6" ht="15.6" x14ac:dyDescent="0.3">
      <c r="B49" s="125" t="s">
        <v>961</v>
      </c>
      <c r="C49" s="126">
        <f>IFERROR(D46*(1+C39),0)</f>
        <v>10443.160011855807</v>
      </c>
      <c r="D49" s="14"/>
      <c r="E49" s="14"/>
    </row>
    <row r="50" spans="2:6" x14ac:dyDescent="0.3">
      <c r="B50" s="119" t="s">
        <v>921</v>
      </c>
      <c r="C50" s="96">
        <f>IFERROR(C49/(C38-C39),0)</f>
        <v>107163.04585645205</v>
      </c>
      <c r="D50" s="56"/>
      <c r="E50" s="14"/>
    </row>
    <row r="51" spans="2:6" x14ac:dyDescent="0.3">
      <c r="B51" t="s">
        <v>923</v>
      </c>
      <c r="C51" s="17">
        <f>PV(C38,5,0,-C50)</f>
        <v>55062.622167920723</v>
      </c>
    </row>
    <row r="53" spans="2:6" x14ac:dyDescent="0.3">
      <c r="B53" s="11" t="s">
        <v>927</v>
      </c>
      <c r="C53" s="17">
        <f>IFERROR(SUM(E47,C51),0)</f>
        <v>78707.442056291737</v>
      </c>
    </row>
    <row r="54" spans="2:6" x14ac:dyDescent="0.3">
      <c r="B54" s="52" t="s">
        <v>928</v>
      </c>
      <c r="C54" s="17">
        <f>K20</f>
        <v>413.05252890000003</v>
      </c>
      <c r="D54" s="58" t="s">
        <v>930</v>
      </c>
    </row>
    <row r="55" spans="2:6" x14ac:dyDescent="0.3">
      <c r="B55" s="145" t="s">
        <v>929</v>
      </c>
      <c r="C55" s="146">
        <f>IFERROR(C53/C54,0)</f>
        <v>190.55068435459646</v>
      </c>
      <c r="D55" s="118" t="s">
        <v>934</v>
      </c>
    </row>
    <row r="57" spans="2:6" x14ac:dyDescent="0.3">
      <c r="B57" s="186" t="s">
        <v>947</v>
      </c>
      <c r="C57" s="56"/>
      <c r="D57" s="56"/>
      <c r="E57" s="56"/>
    </row>
    <row r="58" spans="2:6" x14ac:dyDescent="0.3">
      <c r="B58" s="187" t="s">
        <v>958</v>
      </c>
      <c r="C58" s="138"/>
      <c r="D58" s="138"/>
      <c r="E58" s="138"/>
    </row>
    <row r="59" spans="2:6" x14ac:dyDescent="0.3">
      <c r="B59" s="52" t="s">
        <v>884</v>
      </c>
      <c r="C59" s="52">
        <f>IFERROR(C32,0)</f>
        <v>2371.8000000000138</v>
      </c>
    </row>
    <row r="60" spans="2:6" x14ac:dyDescent="0.3">
      <c r="B60" s="52" t="s">
        <v>948</v>
      </c>
      <c r="C60" s="20">
        <f>IFERROR(C59/D6,0)</f>
        <v>4.0264416241509317E-2</v>
      </c>
    </row>
    <row r="62" spans="2:6" x14ac:dyDescent="0.3">
      <c r="B62" s="11" t="s">
        <v>949</v>
      </c>
      <c r="C62" s="52">
        <f>IFERROR(C21-C24+C23-C36,0)</f>
        <v>-3676.1999999999957</v>
      </c>
    </row>
    <row r="63" spans="2:6" x14ac:dyDescent="0.3">
      <c r="B63" t="s">
        <v>950</v>
      </c>
      <c r="C63" s="20">
        <f>IFERROR(C62/C59,0)</f>
        <v>-1.5499620541360883</v>
      </c>
      <c r="F63" s="144"/>
    </row>
    <row r="64" spans="2:6" x14ac:dyDescent="0.3">
      <c r="B64" s="131" t="s">
        <v>951</v>
      </c>
      <c r="C64" s="132">
        <f>C60*C63</f>
        <v>-6.2408317306280256E-2</v>
      </c>
      <c r="D64" s="56"/>
      <c r="E64" s="56"/>
      <c r="F64" s="144"/>
    </row>
    <row r="65" spans="6:6" x14ac:dyDescent="0.3">
      <c r="F65" s="144"/>
    </row>
  </sheetData>
  <sheetProtection algorithmName="SHA-512" hashValue="5ofc3GVydudymPpWm+bjbFgzA4o5j9CIsVy+hAid5WfdTDlzNH+RqGvLnuQU4dbLD84L4giNnfwmn74I2UuACA==" saltValue="VQ3rWsu4elVLkRwDbCeA8Q==" spinCount="100000" sheet="1" formatCells="0" formatColumns="0" formatRows="0" insertColumns="0" insertRows="0" insertHyperlinks="0" deleteRows="0" sort="0" autoFilter="0" pivotTables="0"/>
  <mergeCells count="10">
    <mergeCell ref="C21:D21"/>
    <mergeCell ref="B1:I1"/>
    <mergeCell ref="I10:J10"/>
    <mergeCell ref="B10:C10"/>
    <mergeCell ref="B28:C28"/>
    <mergeCell ref="D4:E4"/>
    <mergeCell ref="I4:K4"/>
    <mergeCell ref="D9:E9"/>
    <mergeCell ref="I9:J9"/>
    <mergeCell ref="C23:D23"/>
  </mergeCells>
  <phoneticPr fontId="45" type="noConversion"/>
  <dataValidations count="1">
    <dataValidation type="list" allowBlank="1" showInputMessage="1" showErrorMessage="1" sqref="C39" xr:uid="{C65F3FDE-AD97-41C8-80DA-FBF99AEA5D2E}">
      <formula1>$L$23:$L$29</formula1>
    </dataValidation>
  </dataValidations>
  <pageMargins left="0.7" right="0.7" top="0.75" bottom="0.75" header="0.3" footer="0.3"/>
  <ignoredErrors>
    <ignoredError sqref="I6 D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Standalone Balance Sheet</vt:lpstr>
      <vt:lpstr>Standalone Income Statement</vt:lpstr>
      <vt:lpstr>Standalone Cash Flow</vt:lpstr>
      <vt:lpstr>Standalone Notes (Account)</vt:lpstr>
      <vt:lpstr>Consolidated Balance Sheet</vt:lpstr>
      <vt:lpstr>Consolidated Income Statement</vt:lpstr>
      <vt:lpstr>Consolidated Cash Flow</vt:lpstr>
      <vt:lpstr>Consolidated Notes (Account)</vt:lpstr>
      <vt:lpstr>WACC</vt:lpstr>
      <vt:lpstr>Beta</vt:lpstr>
      <vt:lpstr>FcFF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THAKUR</cp:lastModifiedBy>
  <cp:revision>0</cp:revision>
  <dcterms:created xsi:type="dcterms:W3CDTF">2026-03-06T10:41:06Z</dcterms:created>
  <dcterms:modified xsi:type="dcterms:W3CDTF">2026-03-28T23:08:26Z</dcterms:modified>
  <dc:language>en-US</dc:language>
</cp:coreProperties>
</file>